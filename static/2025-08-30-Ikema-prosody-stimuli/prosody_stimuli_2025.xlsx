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miaozhang/Library/CloudStorage/GoogleDrive-zhangmiao311@gmail.com/My Drive/Research/Ikema/Prosody/"/>
    </mc:Choice>
  </mc:AlternateContent>
  <xr:revisionPtr revIDLastSave="0" documentId="13_ncr:1_{5C674B64-2247-9144-BBD9-5048A790C5F2}" xr6:coauthVersionLast="47" xr6:coauthVersionMax="47" xr10:uidLastSave="{00000000-0000-0000-0000-000000000000}"/>
  <bookViews>
    <workbookView xWindow="2600" yWindow="2500" windowWidth="30240" windowHeight="17820" xr2:uid="{00000000-000D-0000-FFFF-FFFF00000000}"/>
  </bookViews>
  <sheets>
    <sheet name="order 1" sheetId="1" r:id="rId1"/>
    <sheet name="order 2" sheetId="2" r:id="rId2"/>
  </sheets>
  <definedNames>
    <definedName name="_xlnm._FilterDatabase" localSheetId="0" hidden="1">'order 1'!$A$1:$Q$65</definedName>
    <definedName name="ExternalData_1" localSheetId="0">'order 1'!$A$1:$N$65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4sWdYpjuNsuzG7dIK0RTxiWfZdEZhbXQwr0Vq4AE/Bk="/>
    </ext>
  </extLst>
</workbook>
</file>

<file path=xl/calcChain.xml><?xml version="1.0" encoding="utf-8"?>
<calcChain xmlns="http://schemas.openxmlformats.org/spreadsheetml/2006/main">
  <c r="N8" i="2" l="1"/>
  <c r="J8" i="2"/>
  <c r="N7" i="2"/>
  <c r="J7" i="2"/>
  <c r="N6" i="2"/>
  <c r="J6" i="2"/>
  <c r="N5" i="2"/>
  <c r="J5" i="2"/>
  <c r="N4" i="2"/>
  <c r="J4" i="2"/>
  <c r="N3" i="2"/>
  <c r="J3" i="2"/>
  <c r="N2" i="2"/>
  <c r="J2" i="2"/>
  <c r="N1" i="2"/>
  <c r="J1" i="2"/>
  <c r="N61" i="1"/>
  <c r="J61" i="1"/>
  <c r="N57" i="1"/>
  <c r="J57" i="1"/>
  <c r="N17" i="1"/>
  <c r="J17" i="1"/>
  <c r="N29" i="1"/>
  <c r="J29" i="1"/>
  <c r="N16" i="1"/>
  <c r="J16" i="1"/>
  <c r="N65" i="1"/>
  <c r="J65" i="1"/>
  <c r="N45" i="1"/>
  <c r="J45" i="1"/>
  <c r="N5" i="1"/>
  <c r="J5" i="1"/>
  <c r="N37" i="1"/>
  <c r="J37" i="1"/>
  <c r="N13" i="1"/>
  <c r="J13" i="1"/>
  <c r="N21" i="1"/>
  <c r="J21" i="1"/>
  <c r="N49" i="1"/>
  <c r="J49" i="1"/>
  <c r="N15" i="1"/>
  <c r="J15" i="1"/>
  <c r="N28" i="1"/>
  <c r="J28" i="1"/>
  <c r="N60" i="1"/>
  <c r="J60" i="1"/>
  <c r="N41" i="1"/>
  <c r="J41" i="1"/>
  <c r="N53" i="1"/>
  <c r="J53" i="1"/>
  <c r="N12" i="1"/>
  <c r="J12" i="1"/>
  <c r="N25" i="1"/>
  <c r="J25" i="1"/>
  <c r="N64" i="1"/>
  <c r="J64" i="1"/>
  <c r="N20" i="1"/>
  <c r="J20" i="1"/>
  <c r="N59" i="1"/>
  <c r="J59" i="1"/>
  <c r="N27" i="1"/>
  <c r="J27" i="1"/>
  <c r="N44" i="1"/>
  <c r="J44" i="1"/>
  <c r="N52" i="1"/>
  <c r="J52" i="1"/>
  <c r="N4" i="1"/>
  <c r="J4" i="1"/>
  <c r="N63" i="1"/>
  <c r="J63" i="1"/>
  <c r="N56" i="1"/>
  <c r="J56" i="1"/>
  <c r="N51" i="1"/>
  <c r="J51" i="1"/>
  <c r="N50" i="1"/>
  <c r="J50" i="1"/>
  <c r="N48" i="1"/>
  <c r="J48" i="1"/>
  <c r="N33" i="1"/>
  <c r="J33" i="1"/>
  <c r="N43" i="1"/>
  <c r="J43" i="1"/>
  <c r="N9" i="1"/>
  <c r="J9" i="1"/>
  <c r="N26" i="1"/>
  <c r="J26" i="1"/>
  <c r="N8" i="1"/>
  <c r="J8" i="1"/>
  <c r="N32" i="1"/>
  <c r="J32" i="1"/>
  <c r="N7" i="1"/>
  <c r="J7" i="1"/>
  <c r="N62" i="1"/>
  <c r="J62" i="1"/>
  <c r="N6" i="1"/>
  <c r="J6" i="1"/>
  <c r="N58" i="1"/>
  <c r="J58" i="1"/>
  <c r="N11" i="1"/>
  <c r="J11" i="1"/>
  <c r="N24" i="1"/>
  <c r="J24" i="1"/>
  <c r="N40" i="1"/>
  <c r="J40" i="1"/>
  <c r="N19" i="1"/>
  <c r="J19" i="1"/>
  <c r="N23" i="1"/>
  <c r="J23" i="1"/>
  <c r="N36" i="1"/>
  <c r="J36" i="1"/>
  <c r="N39" i="1"/>
  <c r="J39" i="1"/>
  <c r="N35" i="1"/>
  <c r="J35" i="1"/>
  <c r="N42" i="1"/>
  <c r="J42" i="1"/>
  <c r="N34" i="1"/>
  <c r="J34" i="1"/>
  <c r="N47" i="1"/>
  <c r="J47" i="1"/>
  <c r="N18" i="1"/>
  <c r="J18" i="1"/>
  <c r="N38" i="1"/>
  <c r="J38" i="1"/>
  <c r="N3" i="1"/>
  <c r="J3" i="1"/>
  <c r="N10" i="1"/>
  <c r="J10" i="1"/>
  <c r="N31" i="1"/>
  <c r="J31" i="1"/>
  <c r="N55" i="1"/>
  <c r="J55" i="1"/>
  <c r="N14" i="1"/>
  <c r="J14" i="1"/>
  <c r="N30" i="1"/>
  <c r="J30" i="1"/>
  <c r="N46" i="1"/>
  <c r="J46" i="1"/>
  <c r="N2" i="1"/>
  <c r="J2" i="1"/>
  <c r="N54" i="1"/>
  <c r="J54" i="1"/>
  <c r="N22" i="1"/>
  <c r="J22" i="1"/>
</calcChain>
</file>

<file path=xl/sharedStrings.xml><?xml version="1.0" encoding="utf-8"?>
<sst xmlns="http://schemas.openxmlformats.org/spreadsheetml/2006/main" count="881" uniqueCount="120">
  <si>
    <t>trial_id</t>
  </si>
  <si>
    <t>stimuli_id</t>
  </si>
  <si>
    <t>class</t>
  </si>
  <si>
    <t>word_id</t>
  </si>
  <si>
    <t>word</t>
  </si>
  <si>
    <t>japanese</t>
  </si>
  <si>
    <t>english</t>
  </si>
  <si>
    <t>word_romaji</t>
  </si>
  <si>
    <t>sentence_romaji</t>
  </si>
  <si>
    <t>sentence</t>
  </si>
  <si>
    <t>carrier</t>
  </si>
  <si>
    <t>predicate_typ</t>
  </si>
  <si>
    <t>sentence_typ</t>
  </si>
  <si>
    <t>japanesesent</t>
  </si>
  <si>
    <t>japanese_carrier</t>
  </si>
  <si>
    <t>que_part</t>
  </si>
  <si>
    <t>japanese_que</t>
  </si>
  <si>
    <t>A</t>
  </si>
  <si>
    <t>ンス</t>
  </si>
  <si>
    <t>右</t>
  </si>
  <si>
    <t>right</t>
  </si>
  <si>
    <t>nsi</t>
  </si>
  <si>
    <t>mai ariiduu</t>
  </si>
  <si>
    <t>マイ アリードゥー</t>
  </si>
  <si>
    <t>pos</t>
  </si>
  <si>
    <t>dec</t>
  </si>
  <si>
    <t>もある</t>
  </si>
  <si>
    <t>。</t>
  </si>
  <si>
    <t>B</t>
  </si>
  <si>
    <t>マイ</t>
  </si>
  <si>
    <t>米</t>
  </si>
  <si>
    <t>rice</t>
  </si>
  <si>
    <t>mai</t>
  </si>
  <si>
    <t>mai njaan na</t>
  </si>
  <si>
    <t>マイ ニャーン</t>
  </si>
  <si>
    <t>neg</t>
  </si>
  <si>
    <t>ynq</t>
  </si>
  <si>
    <t>もない</t>
  </si>
  <si>
    <t>ナ？</t>
  </si>
  <si>
    <t>か？</t>
  </si>
  <si>
    <t>C</t>
  </si>
  <si>
    <t>マグ</t>
  </si>
  <si>
    <t>かご</t>
  </si>
  <si>
    <t>busket</t>
  </si>
  <si>
    <t>magu</t>
  </si>
  <si>
    <t>mai njaan</t>
  </si>
  <si>
    <t>イン</t>
  </si>
  <si>
    <t>海</t>
  </si>
  <si>
    <t>sea; ocean</t>
  </si>
  <si>
    <t>in</t>
  </si>
  <si>
    <t>ブトゥ</t>
  </si>
  <si>
    <t>夫</t>
  </si>
  <si>
    <t>husband</t>
  </si>
  <si>
    <t>butu</t>
  </si>
  <si>
    <t>mai uriiduu na</t>
  </si>
  <si>
    <t>マイ ウリードゥー</t>
  </si>
  <si>
    <t>もいる</t>
  </si>
  <si>
    <t>mai ariiduu na</t>
  </si>
  <si>
    <t>mai uriiduu</t>
  </si>
  <si>
    <t>ウル</t>
  </si>
  <si>
    <t>つのまた</t>
  </si>
  <si>
    <t>Irish moss</t>
  </si>
  <si>
    <t>uru</t>
  </si>
  <si>
    <t>ティビ</t>
  </si>
  <si>
    <t>後ろ</t>
  </si>
  <si>
    <t>back</t>
  </si>
  <si>
    <t>tibi</t>
  </si>
  <si>
    <t>アグ</t>
  </si>
  <si>
    <t>友達</t>
  </si>
  <si>
    <t>friend</t>
  </si>
  <si>
    <t>agu</t>
  </si>
  <si>
    <t>トゥズ</t>
  </si>
  <si>
    <t>妻</t>
  </si>
  <si>
    <t>wife</t>
  </si>
  <si>
    <t>tuzi</t>
  </si>
  <si>
    <t>mai miin na</t>
  </si>
  <si>
    <t>マイ ミーン</t>
  </si>
  <si>
    <t>もいない</t>
  </si>
  <si>
    <t>クー</t>
  </si>
  <si>
    <t>昆布</t>
  </si>
  <si>
    <t>kombu</t>
  </si>
  <si>
    <t>kuu</t>
  </si>
  <si>
    <t>mai miin</t>
  </si>
  <si>
    <t>サバ</t>
  </si>
  <si>
    <t>サメ</t>
  </si>
  <si>
    <t>shark</t>
  </si>
  <si>
    <t>saba</t>
  </si>
  <si>
    <t>ソゥー</t>
  </si>
  <si>
    <t>野菜</t>
  </si>
  <si>
    <t>vegetable</t>
  </si>
  <si>
    <t>suu</t>
  </si>
  <si>
    <t>アラ</t>
  </si>
  <si>
    <t>外</t>
  </si>
  <si>
    <t>outside</t>
  </si>
  <si>
    <t>ara</t>
  </si>
  <si>
    <t>犬</t>
  </si>
  <si>
    <t>dog</t>
  </si>
  <si>
    <t>カジャ</t>
  </si>
  <si>
    <t>匂い</t>
  </si>
  <si>
    <t>smell</t>
  </si>
  <si>
    <t>kaja</t>
  </si>
  <si>
    <t>ティダ</t>
  </si>
  <si>
    <t>太陽</t>
  </si>
  <si>
    <t>sun</t>
  </si>
  <si>
    <t>tida</t>
  </si>
  <si>
    <t>mon</t>
  </si>
  <si>
    <t>tue</t>
  </si>
  <si>
    <t>wed</t>
  </si>
  <si>
    <t>クバ</t>
  </si>
  <si>
    <t>palm</t>
  </si>
  <si>
    <t>kuba</t>
  </si>
  <si>
    <t>檳榔</t>
  </si>
  <si>
    <t>バサ</t>
  </si>
  <si>
    <t>バナナ</t>
  </si>
  <si>
    <t>banana</t>
  </si>
  <si>
    <t>basa</t>
  </si>
  <si>
    <t>ソゥディ</t>
  </si>
  <si>
    <t>袖</t>
  </si>
  <si>
    <t>sleeve</t>
  </si>
  <si>
    <t>sudi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</si>
</sst>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scheme val="minor"/>
    </font>
    <font>
      <sz val="12"/>
      <color theme="1"/>
      <name val="Aptos Narrow"/>
    </font>
    <font>
      <sz val="12"/>
      <color theme="1"/>
      <name val="Arial"/>
    </font>
    <font>
      <sz val="12"/>
      <color rgb="FF000000"/>
      <name val="Aptos Narrow"/>
    </font>
    <font>
      <sz val="8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0" fillId="2" borderId="0" xfId="0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"/>
  <sheetViews>
    <sheetView tabSelected="1" topLeftCell="A31" zoomScale="125" workbookViewId="0">
      <selection activeCell="H23" sqref="H23"/>
    </sheetView>
  </sheetViews>
  <sheetFormatPr baseColWidth="10" defaultColWidth="11.1640625" defaultRowHeight="15" customHeight="1" x14ac:dyDescent="0.2"/>
  <cols>
    <col min="1" max="1" width="7.33203125" customWidth="1"/>
    <col min="2" max="2" width="9" customWidth="1"/>
    <col min="3" max="3" width="5.33203125" customWidth="1"/>
    <col min="4" max="5" width="7.6640625" customWidth="1"/>
    <col min="6" max="7" width="10.5" customWidth="1"/>
    <col min="8" max="8" width="13.6640625" customWidth="1"/>
    <col min="9" max="9" width="17.1640625" customWidth="1"/>
    <col min="10" max="10" width="28.6640625" customWidth="1"/>
    <col min="11" max="11" width="27.5" customWidth="1"/>
    <col min="12" max="12" width="12.33203125" customWidth="1"/>
    <col min="13" max="13" width="12" customWidth="1"/>
    <col min="14" max="14" width="20" customWidth="1"/>
    <col min="15" max="15" width="15.1640625" customWidth="1"/>
    <col min="16" max="26" width="10.5" customWidth="1"/>
  </cols>
  <sheetData>
    <row r="1" spans="1:1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5.75" customHeight="1" x14ac:dyDescent="0.2">
      <c r="A2" s="1">
        <v>3</v>
      </c>
      <c r="B2" s="1">
        <v>21</v>
      </c>
      <c r="C2" s="1" t="s">
        <v>40</v>
      </c>
      <c r="D2" s="1">
        <v>11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tr">
        <f>E2 &amp; K2 &amp; " " &amp; P2</f>
        <v>マグマイ ニャーン 。</v>
      </c>
      <c r="K2" s="1" t="s">
        <v>34</v>
      </c>
      <c r="L2" s="1" t="s">
        <v>35</v>
      </c>
      <c r="M2" s="1" t="s">
        <v>25</v>
      </c>
      <c r="N2" s="1" t="str">
        <f>F2 &amp; O2 &amp; Q2</f>
        <v>かごもない。</v>
      </c>
      <c r="O2" s="1" t="s">
        <v>37</v>
      </c>
      <c r="P2" s="1" t="s">
        <v>27</v>
      </c>
      <c r="Q2" s="1" t="s">
        <v>27</v>
      </c>
    </row>
    <row r="3" spans="1:17" ht="15.75" customHeight="1" x14ac:dyDescent="0.2">
      <c r="A3" s="1">
        <v>10</v>
      </c>
      <c r="B3" s="1">
        <v>22</v>
      </c>
      <c r="C3" s="1" t="s">
        <v>40</v>
      </c>
      <c r="D3" s="1">
        <v>11</v>
      </c>
      <c r="E3" s="1" t="s">
        <v>41</v>
      </c>
      <c r="F3" s="1" t="s">
        <v>42</v>
      </c>
      <c r="G3" s="1" t="s">
        <v>43</v>
      </c>
      <c r="H3" s="1" t="s">
        <v>44</v>
      </c>
      <c r="I3" s="1" t="s">
        <v>58</v>
      </c>
      <c r="J3" s="1" t="str">
        <f>E3 &amp; K3 &amp; " " &amp; P3</f>
        <v>マグマイ アリードゥー 。</v>
      </c>
      <c r="K3" s="1" t="s">
        <v>23</v>
      </c>
      <c r="L3" s="1" t="s">
        <v>24</v>
      </c>
      <c r="M3" s="1" t="s">
        <v>25</v>
      </c>
      <c r="N3" s="1" t="str">
        <f>F3 &amp; O3 &amp; Q3</f>
        <v>かごもある。</v>
      </c>
      <c r="O3" s="1" t="s">
        <v>26</v>
      </c>
      <c r="P3" s="1" t="s">
        <v>27</v>
      </c>
      <c r="Q3" s="1" t="s">
        <v>27</v>
      </c>
    </row>
    <row r="4" spans="1:17" ht="15.75" customHeight="1" x14ac:dyDescent="0.2">
      <c r="A4" s="1">
        <v>39</v>
      </c>
      <c r="B4" s="1">
        <v>54</v>
      </c>
      <c r="C4" s="1" t="s">
        <v>40</v>
      </c>
      <c r="D4" s="1">
        <v>11</v>
      </c>
      <c r="E4" s="1" t="s">
        <v>41</v>
      </c>
      <c r="F4" s="1" t="s">
        <v>42</v>
      </c>
      <c r="G4" s="1" t="s">
        <v>43</v>
      </c>
      <c r="H4" s="1" t="s">
        <v>44</v>
      </c>
      <c r="I4" s="1" t="s">
        <v>57</v>
      </c>
      <c r="J4" s="1" t="str">
        <f>E4 &amp; K4 &amp; " " &amp; P4</f>
        <v>マグマイ アリードゥー ナ？</v>
      </c>
      <c r="K4" s="1" t="s">
        <v>23</v>
      </c>
      <c r="L4" s="1" t="s">
        <v>24</v>
      </c>
      <c r="M4" s="1" t="s">
        <v>36</v>
      </c>
      <c r="N4" s="1" t="str">
        <f>F4 &amp; O4 &amp; Q4</f>
        <v>かごもあるか？</v>
      </c>
      <c r="O4" s="1" t="s">
        <v>26</v>
      </c>
      <c r="P4" s="1" t="s">
        <v>38</v>
      </c>
      <c r="Q4" s="1" t="s">
        <v>39</v>
      </c>
    </row>
    <row r="5" spans="1:17" ht="15.75" customHeight="1" x14ac:dyDescent="0.2">
      <c r="A5" s="1">
        <v>57</v>
      </c>
      <c r="B5" s="1">
        <v>53</v>
      </c>
      <c r="C5" s="1" t="s">
        <v>40</v>
      </c>
      <c r="D5" s="1">
        <v>11</v>
      </c>
      <c r="E5" s="1" t="s">
        <v>41</v>
      </c>
      <c r="F5" s="1" t="s">
        <v>42</v>
      </c>
      <c r="G5" s="1" t="s">
        <v>43</v>
      </c>
      <c r="H5" s="1" t="s">
        <v>44</v>
      </c>
      <c r="I5" s="1" t="s">
        <v>33</v>
      </c>
      <c r="J5" s="1" t="str">
        <f>E5 &amp; K5 &amp; " " &amp; P5</f>
        <v>マグマイ ニャーン ナ？</v>
      </c>
      <c r="K5" s="1" t="s">
        <v>34</v>
      </c>
      <c r="L5" s="1" t="s">
        <v>35</v>
      </c>
      <c r="M5" s="1" t="s">
        <v>36</v>
      </c>
      <c r="N5" s="1" t="str">
        <f>F5 &amp; O5 &amp; Q5</f>
        <v>かごもないか？</v>
      </c>
      <c r="O5" s="1" t="s">
        <v>37</v>
      </c>
      <c r="P5" s="1" t="s">
        <v>38</v>
      </c>
      <c r="Q5" s="1" t="s">
        <v>39</v>
      </c>
    </row>
    <row r="6" spans="1:17" ht="15.75" customHeight="1" x14ac:dyDescent="0.2">
      <c r="A6" s="1">
        <v>25</v>
      </c>
      <c r="B6" s="1">
        <v>44</v>
      </c>
      <c r="C6" s="1" t="s">
        <v>28</v>
      </c>
      <c r="D6" s="1">
        <v>6</v>
      </c>
      <c r="E6" s="1" t="s">
        <v>83</v>
      </c>
      <c r="F6" s="1" t="s">
        <v>84</v>
      </c>
      <c r="G6" s="1" t="s">
        <v>85</v>
      </c>
      <c r="H6" s="1" t="s">
        <v>86</v>
      </c>
      <c r="I6" s="1" t="s">
        <v>54</v>
      </c>
      <c r="J6" s="1" t="str">
        <f>E6 &amp; K6 &amp; " " &amp; P6</f>
        <v>サバマイ ウリードゥー ナ？</v>
      </c>
      <c r="K6" s="1" t="s">
        <v>55</v>
      </c>
      <c r="L6" s="1" t="s">
        <v>24</v>
      </c>
      <c r="M6" s="1" t="s">
        <v>36</v>
      </c>
      <c r="N6" s="1" t="str">
        <f>F6 &amp; O6 &amp; Q6</f>
        <v>サメもいるか？</v>
      </c>
      <c r="O6" s="1" t="s">
        <v>56</v>
      </c>
      <c r="P6" s="1" t="s">
        <v>38</v>
      </c>
      <c r="Q6" s="1" t="s">
        <v>39</v>
      </c>
    </row>
    <row r="7" spans="1:17" ht="15.75" customHeight="1" x14ac:dyDescent="0.2">
      <c r="A7" s="1">
        <v>27</v>
      </c>
      <c r="B7" s="1">
        <v>11</v>
      </c>
      <c r="C7" s="1" t="s">
        <v>28</v>
      </c>
      <c r="D7" s="1">
        <v>6</v>
      </c>
      <c r="E7" s="1" t="s">
        <v>83</v>
      </c>
      <c r="F7" s="1" t="s">
        <v>84</v>
      </c>
      <c r="G7" s="1" t="s">
        <v>85</v>
      </c>
      <c r="H7" s="1" t="s">
        <v>86</v>
      </c>
      <c r="I7" s="1" t="s">
        <v>82</v>
      </c>
      <c r="J7" s="1" t="str">
        <f>E7 &amp; K7 &amp; " " &amp; P7</f>
        <v>サバマイ ミーン 。</v>
      </c>
      <c r="K7" s="1" t="s">
        <v>76</v>
      </c>
      <c r="L7" s="1" t="s">
        <v>35</v>
      </c>
      <c r="M7" s="1" t="s">
        <v>25</v>
      </c>
      <c r="N7" s="1" t="str">
        <f>F7 &amp; O7 &amp; Q7</f>
        <v>サメもいない。</v>
      </c>
      <c r="O7" s="1" t="s">
        <v>77</v>
      </c>
      <c r="P7" s="1" t="s">
        <v>27</v>
      </c>
      <c r="Q7" s="1" t="s">
        <v>27</v>
      </c>
    </row>
    <row r="8" spans="1:17" ht="15.75" customHeight="1" x14ac:dyDescent="0.2">
      <c r="A8" s="1">
        <v>29</v>
      </c>
      <c r="B8" s="1">
        <v>12</v>
      </c>
      <c r="C8" s="1" t="s">
        <v>28</v>
      </c>
      <c r="D8" s="1">
        <v>6</v>
      </c>
      <c r="E8" s="1" t="s">
        <v>83</v>
      </c>
      <c r="F8" s="1" t="s">
        <v>84</v>
      </c>
      <c r="G8" s="1" t="s">
        <v>85</v>
      </c>
      <c r="H8" s="1" t="s">
        <v>86</v>
      </c>
      <c r="I8" s="1" t="s">
        <v>58</v>
      </c>
      <c r="J8" s="1" t="str">
        <f>E8 &amp; K8 &amp; " " &amp; P8</f>
        <v>サバマイ ウリードゥー 。</v>
      </c>
      <c r="K8" s="1" t="s">
        <v>55</v>
      </c>
      <c r="L8" s="1" t="s">
        <v>24</v>
      </c>
      <c r="M8" s="1" t="s">
        <v>25</v>
      </c>
      <c r="N8" s="1" t="str">
        <f>F8 &amp; O8 &amp; Q8</f>
        <v>サメもいる。</v>
      </c>
      <c r="O8" s="1" t="s">
        <v>56</v>
      </c>
      <c r="P8" s="1" t="s">
        <v>27</v>
      </c>
      <c r="Q8" s="1" t="s">
        <v>27</v>
      </c>
    </row>
    <row r="9" spans="1:17" ht="15.75" customHeight="1" x14ac:dyDescent="0.2">
      <c r="A9" s="1">
        <v>31</v>
      </c>
      <c r="B9" s="1">
        <v>43</v>
      </c>
      <c r="C9" s="1" t="s">
        <v>28</v>
      </c>
      <c r="D9" s="1">
        <v>6</v>
      </c>
      <c r="E9" s="1" t="s">
        <v>83</v>
      </c>
      <c r="F9" s="1" t="s">
        <v>84</v>
      </c>
      <c r="G9" s="1" t="s">
        <v>85</v>
      </c>
      <c r="H9" s="1" t="s">
        <v>86</v>
      </c>
      <c r="I9" s="1" t="s">
        <v>75</v>
      </c>
      <c r="J9" s="1" t="str">
        <f>E9 &amp; K9 &amp; " " &amp; P9</f>
        <v>サバマイ ミーン ナ？</v>
      </c>
      <c r="K9" s="1" t="s">
        <v>76</v>
      </c>
      <c r="L9" s="1" t="s">
        <v>35</v>
      </c>
      <c r="M9" s="1" t="s">
        <v>36</v>
      </c>
      <c r="N9" s="1" t="str">
        <f>F9 &amp; O9 &amp; Q9</f>
        <v>サメもいないか？</v>
      </c>
      <c r="O9" s="1" t="s">
        <v>77</v>
      </c>
      <c r="P9" s="1" t="s">
        <v>38</v>
      </c>
      <c r="Q9" s="1" t="s">
        <v>39</v>
      </c>
    </row>
    <row r="10" spans="1:17" ht="15.75" customHeight="1" x14ac:dyDescent="0.2">
      <c r="A10" s="1">
        <v>9</v>
      </c>
      <c r="B10" s="1">
        <v>42</v>
      </c>
      <c r="C10" s="1" t="s">
        <v>28</v>
      </c>
      <c r="D10" s="1">
        <v>5</v>
      </c>
      <c r="E10" s="1" t="s">
        <v>59</v>
      </c>
      <c r="F10" s="1" t="s">
        <v>60</v>
      </c>
      <c r="G10" s="1" t="s">
        <v>61</v>
      </c>
      <c r="H10" s="1" t="s">
        <v>62</v>
      </c>
      <c r="I10" s="1" t="s">
        <v>57</v>
      </c>
      <c r="J10" s="1" t="str">
        <f>E10 &amp; K10 &amp; " " &amp; P10</f>
        <v>ウルマイ アリードゥー ナ？</v>
      </c>
      <c r="K10" s="1" t="s">
        <v>23</v>
      </c>
      <c r="L10" s="1" t="s">
        <v>24</v>
      </c>
      <c r="M10" s="1" t="s">
        <v>36</v>
      </c>
      <c r="N10" s="1" t="str">
        <f>F10 &amp; O10 &amp; Q10</f>
        <v>つのまたもあるか？</v>
      </c>
      <c r="O10" s="1" t="s">
        <v>26</v>
      </c>
      <c r="P10" s="1" t="s">
        <v>38</v>
      </c>
      <c r="Q10" s="1" t="s">
        <v>39</v>
      </c>
    </row>
    <row r="11" spans="1:17" ht="15.75" customHeight="1" x14ac:dyDescent="0.2">
      <c r="A11" s="1">
        <v>23</v>
      </c>
      <c r="B11" s="1">
        <v>9</v>
      </c>
      <c r="C11" s="1" t="s">
        <v>28</v>
      </c>
      <c r="D11" s="1">
        <v>5</v>
      </c>
      <c r="E11" s="1" t="s">
        <v>59</v>
      </c>
      <c r="F11" s="1" t="s">
        <v>60</v>
      </c>
      <c r="G11" s="1" t="s">
        <v>61</v>
      </c>
      <c r="H11" s="1" t="s">
        <v>62</v>
      </c>
      <c r="I11" s="1" t="s">
        <v>45</v>
      </c>
      <c r="J11" s="1" t="str">
        <f>E11 &amp; K11 &amp; " " &amp; P11</f>
        <v>ウルマイ ニャーン 。</v>
      </c>
      <c r="K11" s="1" t="s">
        <v>34</v>
      </c>
      <c r="L11" s="1" t="s">
        <v>35</v>
      </c>
      <c r="M11" s="1" t="s">
        <v>25</v>
      </c>
      <c r="N11" s="1" t="str">
        <f>F11 &amp; O11 &amp; Q11</f>
        <v>つのまたもない。</v>
      </c>
      <c r="O11" s="1" t="s">
        <v>37</v>
      </c>
      <c r="P11" s="1" t="s">
        <v>27</v>
      </c>
      <c r="Q11" s="1" t="s">
        <v>27</v>
      </c>
    </row>
    <row r="12" spans="1:17" ht="15.75" customHeight="1" x14ac:dyDescent="0.2">
      <c r="A12" s="1">
        <v>47</v>
      </c>
      <c r="B12" s="1">
        <v>41</v>
      </c>
      <c r="C12" s="1" t="s">
        <v>28</v>
      </c>
      <c r="D12" s="1">
        <v>5</v>
      </c>
      <c r="E12" s="1" t="s">
        <v>59</v>
      </c>
      <c r="F12" s="1" t="s">
        <v>60</v>
      </c>
      <c r="G12" s="1" t="s">
        <v>61</v>
      </c>
      <c r="H12" s="1" t="s">
        <v>62</v>
      </c>
      <c r="I12" s="1" t="s">
        <v>33</v>
      </c>
      <c r="J12" s="1" t="str">
        <f>E12 &amp; K12 &amp; " " &amp; P12</f>
        <v>ウルマイ ニャーン ナ？</v>
      </c>
      <c r="K12" s="1" t="s">
        <v>34</v>
      </c>
      <c r="L12" s="1" t="s">
        <v>35</v>
      </c>
      <c r="M12" s="1" t="s">
        <v>36</v>
      </c>
      <c r="N12" s="1" t="str">
        <f>F12 &amp; O12 &amp; Q12</f>
        <v>つのまたもないか？</v>
      </c>
      <c r="O12" s="1" t="s">
        <v>37</v>
      </c>
      <c r="P12" s="1" t="s">
        <v>38</v>
      </c>
      <c r="Q12" s="1" t="s">
        <v>39</v>
      </c>
    </row>
    <row r="13" spans="1:17" ht="15.75" customHeight="1" x14ac:dyDescent="0.2">
      <c r="A13" s="1">
        <v>55</v>
      </c>
      <c r="B13" s="1">
        <v>10</v>
      </c>
      <c r="C13" s="1" t="s">
        <v>28</v>
      </c>
      <c r="D13" s="1">
        <v>5</v>
      </c>
      <c r="E13" s="1" t="s">
        <v>59</v>
      </c>
      <c r="F13" s="1" t="s">
        <v>60</v>
      </c>
      <c r="G13" s="1" t="s">
        <v>61</v>
      </c>
      <c r="H13" s="1" t="s">
        <v>62</v>
      </c>
      <c r="I13" s="1" t="s">
        <v>22</v>
      </c>
      <c r="J13" s="1" t="str">
        <f>E13 &amp; K13 &amp; " " &amp; P13</f>
        <v>ウルマイ アリードゥー 。</v>
      </c>
      <c r="K13" s="1" t="s">
        <v>23</v>
      </c>
      <c r="L13" s="1" t="s">
        <v>24</v>
      </c>
      <c r="M13" s="1" t="s">
        <v>25</v>
      </c>
      <c r="N13" s="1" t="str">
        <f>F13 &amp; O13 &amp; Q13</f>
        <v>つのまたもある。</v>
      </c>
      <c r="O13" s="1" t="s">
        <v>26</v>
      </c>
      <c r="P13" s="1" t="s">
        <v>27</v>
      </c>
      <c r="Q13" s="1" t="s">
        <v>27</v>
      </c>
    </row>
    <row r="14" spans="1:17" ht="15.75" customHeight="1" x14ac:dyDescent="0.2">
      <c r="A14" s="4">
        <v>6</v>
      </c>
      <c r="B14" s="4">
        <v>48</v>
      </c>
      <c r="C14" s="4" t="s">
        <v>28</v>
      </c>
      <c r="D14" s="4">
        <v>8</v>
      </c>
      <c r="E14" s="4" t="s">
        <v>97</v>
      </c>
      <c r="F14" s="4" t="s">
        <v>98</v>
      </c>
      <c r="G14" s="4" t="s">
        <v>99</v>
      </c>
      <c r="H14" s="4" t="s">
        <v>100</v>
      </c>
      <c r="I14" s="4" t="s">
        <v>57</v>
      </c>
      <c r="J14" s="4" t="str">
        <f>E14 &amp; K14 &amp; " " &amp; P14</f>
        <v>カジャマイ アリードゥー ナ？</v>
      </c>
      <c r="K14" s="4" t="s">
        <v>23</v>
      </c>
      <c r="L14" s="4" t="s">
        <v>24</v>
      </c>
      <c r="M14" s="4" t="s">
        <v>36</v>
      </c>
      <c r="N14" s="4" t="str">
        <f>F14 &amp; O14 &amp; Q14</f>
        <v>匂いもあるか？</v>
      </c>
      <c r="O14" s="4" t="s">
        <v>26</v>
      </c>
      <c r="P14" s="4" t="s">
        <v>38</v>
      </c>
      <c r="Q14" s="4" t="s">
        <v>39</v>
      </c>
    </row>
    <row r="15" spans="1:17" ht="15.75" customHeight="1" x14ac:dyDescent="0.2">
      <c r="A15" s="4">
        <v>52</v>
      </c>
      <c r="B15" s="4">
        <v>15</v>
      </c>
      <c r="C15" s="4" t="s">
        <v>28</v>
      </c>
      <c r="D15" s="4">
        <v>8</v>
      </c>
      <c r="E15" s="4" t="s">
        <v>97</v>
      </c>
      <c r="F15" s="4" t="s">
        <v>98</v>
      </c>
      <c r="G15" s="4" t="s">
        <v>99</v>
      </c>
      <c r="H15" s="4" t="s">
        <v>100</v>
      </c>
      <c r="I15" s="4" t="s">
        <v>45</v>
      </c>
      <c r="J15" s="4" t="str">
        <f>E15 &amp; K15 &amp; " " &amp; P15</f>
        <v>カジャマイ ニャーン 。</v>
      </c>
      <c r="K15" s="4" t="s">
        <v>34</v>
      </c>
      <c r="L15" s="4" t="s">
        <v>35</v>
      </c>
      <c r="M15" s="4" t="s">
        <v>25</v>
      </c>
      <c r="N15" s="4" t="str">
        <f>F15 &amp; O15 &amp; Q15</f>
        <v>匂いもない。</v>
      </c>
      <c r="O15" s="4" t="s">
        <v>37</v>
      </c>
      <c r="P15" s="4" t="s">
        <v>27</v>
      </c>
      <c r="Q15" s="4" t="s">
        <v>27</v>
      </c>
    </row>
    <row r="16" spans="1:17" ht="15.75" customHeight="1" x14ac:dyDescent="0.2">
      <c r="A16" s="4">
        <v>60</v>
      </c>
      <c r="B16" s="4">
        <v>47</v>
      </c>
      <c r="C16" s="4" t="s">
        <v>28</v>
      </c>
      <c r="D16" s="4">
        <v>8</v>
      </c>
      <c r="E16" s="4" t="s">
        <v>97</v>
      </c>
      <c r="F16" s="4" t="s">
        <v>98</v>
      </c>
      <c r="G16" s="4" t="s">
        <v>99</v>
      </c>
      <c r="H16" s="4" t="s">
        <v>100</v>
      </c>
      <c r="I16" s="4" t="s">
        <v>33</v>
      </c>
      <c r="J16" s="4" t="str">
        <f>E16 &amp; K16 &amp; " " &amp; P16</f>
        <v>カジャマイ ニャーン ナ？</v>
      </c>
      <c r="K16" s="4" t="s">
        <v>34</v>
      </c>
      <c r="L16" s="4" t="s">
        <v>35</v>
      </c>
      <c r="M16" s="4" t="s">
        <v>36</v>
      </c>
      <c r="N16" s="4" t="str">
        <f>F16 &amp; O16 &amp; Q16</f>
        <v>匂いもないか？</v>
      </c>
      <c r="O16" s="4" t="s">
        <v>37</v>
      </c>
      <c r="P16" s="4" t="s">
        <v>38</v>
      </c>
      <c r="Q16" s="4" t="s">
        <v>39</v>
      </c>
    </row>
    <row r="17" spans="1:17" ht="15.75" customHeight="1" x14ac:dyDescent="0.2">
      <c r="A17" s="4">
        <v>62</v>
      </c>
      <c r="B17" s="4">
        <v>16</v>
      </c>
      <c r="C17" s="4" t="s">
        <v>28</v>
      </c>
      <c r="D17" s="4">
        <v>8</v>
      </c>
      <c r="E17" s="4" t="s">
        <v>97</v>
      </c>
      <c r="F17" s="4" t="s">
        <v>98</v>
      </c>
      <c r="G17" s="4" t="s">
        <v>99</v>
      </c>
      <c r="H17" s="4" t="s">
        <v>100</v>
      </c>
      <c r="I17" s="4" t="s">
        <v>22</v>
      </c>
      <c r="J17" s="4" t="str">
        <f>E17 &amp; K17 &amp; " " &amp; P17</f>
        <v>カジャマイ アリードゥー 。</v>
      </c>
      <c r="K17" s="4" t="s">
        <v>23</v>
      </c>
      <c r="L17" s="4" t="s">
        <v>24</v>
      </c>
      <c r="M17" s="4" t="s">
        <v>25</v>
      </c>
      <c r="N17" s="4" t="str">
        <f>F17 &amp; O17 &amp; Q17</f>
        <v>匂いもある。</v>
      </c>
      <c r="O17" s="4" t="s">
        <v>26</v>
      </c>
      <c r="P17" s="4" t="s">
        <v>27</v>
      </c>
      <c r="Q17" s="4" t="s">
        <v>27</v>
      </c>
    </row>
    <row r="18" spans="1:17" s="5" customFormat="1" ht="15.75" customHeight="1" x14ac:dyDescent="0.2">
      <c r="A18" s="1">
        <v>12</v>
      </c>
      <c r="B18" s="1">
        <v>56</v>
      </c>
      <c r="C18" s="1" t="s">
        <v>40</v>
      </c>
      <c r="D18" s="1">
        <v>12</v>
      </c>
      <c r="E18" s="1" t="s">
        <v>67</v>
      </c>
      <c r="F18" s="1" t="s">
        <v>68</v>
      </c>
      <c r="G18" s="1" t="s">
        <v>69</v>
      </c>
      <c r="H18" s="1" t="s">
        <v>70</v>
      </c>
      <c r="I18" s="1" t="s">
        <v>54</v>
      </c>
      <c r="J18" s="1" t="str">
        <f>E18 &amp; K18 &amp; " " &amp; P18</f>
        <v>アグマイ ウリードゥー ナ？</v>
      </c>
      <c r="K18" s="1" t="s">
        <v>55</v>
      </c>
      <c r="L18" s="1" t="s">
        <v>24</v>
      </c>
      <c r="M18" s="1" t="s">
        <v>36</v>
      </c>
      <c r="N18" s="1" t="str">
        <f>F18 &amp; O18 &amp; Q18</f>
        <v>友達もいるか？</v>
      </c>
      <c r="O18" s="1" t="s">
        <v>56</v>
      </c>
      <c r="P18" s="1" t="s">
        <v>38</v>
      </c>
      <c r="Q18" s="1" t="s">
        <v>39</v>
      </c>
    </row>
    <row r="19" spans="1:17" s="5" customFormat="1" ht="15.75" customHeight="1" x14ac:dyDescent="0.2">
      <c r="A19" s="1">
        <v>20</v>
      </c>
      <c r="B19" s="1">
        <v>55</v>
      </c>
      <c r="C19" s="1" t="s">
        <v>40</v>
      </c>
      <c r="D19" s="1">
        <v>12</v>
      </c>
      <c r="E19" s="1" t="s">
        <v>67</v>
      </c>
      <c r="F19" s="1" t="s">
        <v>68</v>
      </c>
      <c r="G19" s="1" t="s">
        <v>69</v>
      </c>
      <c r="H19" s="1" t="s">
        <v>70</v>
      </c>
      <c r="I19" s="1" t="s">
        <v>75</v>
      </c>
      <c r="J19" s="1" t="str">
        <f>E19 &amp; K19 &amp; " " &amp; P19</f>
        <v>アグマイ ミーン ナ？</v>
      </c>
      <c r="K19" s="1" t="s">
        <v>76</v>
      </c>
      <c r="L19" s="1" t="s">
        <v>35</v>
      </c>
      <c r="M19" s="1" t="s">
        <v>36</v>
      </c>
      <c r="N19" s="1" t="str">
        <f>F19 &amp; O19 &amp; Q19</f>
        <v>友達もいないか？</v>
      </c>
      <c r="O19" s="1" t="s">
        <v>77</v>
      </c>
      <c r="P19" s="1" t="s">
        <v>38</v>
      </c>
      <c r="Q19" s="1" t="s">
        <v>39</v>
      </c>
    </row>
    <row r="20" spans="1:17" s="5" customFormat="1" ht="15.75" customHeight="1" x14ac:dyDescent="0.2">
      <c r="A20" s="1">
        <v>44</v>
      </c>
      <c r="B20" s="1">
        <v>23</v>
      </c>
      <c r="C20" s="1" t="s">
        <v>40</v>
      </c>
      <c r="D20" s="1">
        <v>12</v>
      </c>
      <c r="E20" s="1" t="s">
        <v>67</v>
      </c>
      <c r="F20" s="1" t="s">
        <v>68</v>
      </c>
      <c r="G20" s="1" t="s">
        <v>69</v>
      </c>
      <c r="H20" s="1" t="s">
        <v>70</v>
      </c>
      <c r="I20" s="1" t="s">
        <v>82</v>
      </c>
      <c r="J20" s="1" t="str">
        <f>E20 &amp; K20 &amp; " " &amp; P20</f>
        <v>アグマイ ミーン 。</v>
      </c>
      <c r="K20" s="3" t="s">
        <v>76</v>
      </c>
      <c r="L20" s="1" t="s">
        <v>35</v>
      </c>
      <c r="M20" s="1" t="s">
        <v>25</v>
      </c>
      <c r="N20" s="1" t="str">
        <f>F20 &amp; O20 &amp; Q20</f>
        <v>友達もいない。</v>
      </c>
      <c r="O20" s="1" t="s">
        <v>77</v>
      </c>
      <c r="P20" s="1" t="s">
        <v>27</v>
      </c>
      <c r="Q20" s="1" t="s">
        <v>27</v>
      </c>
    </row>
    <row r="21" spans="1:17" ht="15.75" customHeight="1" x14ac:dyDescent="0.2">
      <c r="A21" s="1">
        <v>54</v>
      </c>
      <c r="B21" s="1">
        <v>24</v>
      </c>
      <c r="C21" s="1" t="s">
        <v>40</v>
      </c>
      <c r="D21" s="1">
        <v>12</v>
      </c>
      <c r="E21" s="1" t="s">
        <v>67</v>
      </c>
      <c r="F21" s="1" t="s">
        <v>68</v>
      </c>
      <c r="G21" s="1" t="s">
        <v>69</v>
      </c>
      <c r="H21" s="1" t="s">
        <v>70</v>
      </c>
      <c r="I21" s="1" t="s">
        <v>58</v>
      </c>
      <c r="J21" s="1" t="str">
        <f>E21 &amp; K21 &amp; " " &amp; P21</f>
        <v>アグマイ ウリードゥー 。</v>
      </c>
      <c r="K21" s="1" t="s">
        <v>55</v>
      </c>
      <c r="L21" s="1" t="s">
        <v>24</v>
      </c>
      <c r="M21" s="1" t="s">
        <v>25</v>
      </c>
      <c r="N21" s="1" t="str">
        <f>F21 &amp; O21 &amp; Q21</f>
        <v>友達もいる。</v>
      </c>
      <c r="O21" s="1" t="s">
        <v>56</v>
      </c>
      <c r="P21" s="1" t="s">
        <v>27</v>
      </c>
      <c r="Q21" s="1" t="s">
        <v>27</v>
      </c>
    </row>
    <row r="22" spans="1:17" ht="15.75" customHeight="1" x14ac:dyDescent="0.2">
      <c r="A22" s="1">
        <v>1</v>
      </c>
      <c r="B22" s="1">
        <v>4</v>
      </c>
      <c r="C22" s="1" t="s">
        <v>17</v>
      </c>
      <c r="D22" s="1">
        <v>2</v>
      </c>
      <c r="E22" s="1" t="s">
        <v>18</v>
      </c>
      <c r="F22" s="1" t="s">
        <v>19</v>
      </c>
      <c r="G22" s="1" t="s">
        <v>20</v>
      </c>
      <c r="H22" s="1" t="s">
        <v>21</v>
      </c>
      <c r="I22" s="2" t="s">
        <v>22</v>
      </c>
      <c r="J22" s="1" t="str">
        <f>E22 &amp; K22 &amp; " " &amp; P22</f>
        <v>ンスマイ アリードゥー 。</v>
      </c>
      <c r="K22" s="1" t="s">
        <v>23</v>
      </c>
      <c r="L22" s="1" t="s">
        <v>24</v>
      </c>
      <c r="M22" s="1" t="s">
        <v>25</v>
      </c>
      <c r="N22" s="1" t="str">
        <f>F22 &amp; O22 &amp; Q22</f>
        <v>右もある。</v>
      </c>
      <c r="O22" s="1" t="s">
        <v>26</v>
      </c>
      <c r="P22" s="1" t="s">
        <v>27</v>
      </c>
      <c r="Q22" s="1" t="s">
        <v>27</v>
      </c>
    </row>
    <row r="23" spans="1:17" ht="15.75" customHeight="1" x14ac:dyDescent="0.2">
      <c r="A23" s="1">
        <v>19</v>
      </c>
      <c r="B23" s="1">
        <v>36</v>
      </c>
      <c r="C23" s="1" t="s">
        <v>17</v>
      </c>
      <c r="D23" s="1">
        <v>2</v>
      </c>
      <c r="E23" s="1" t="s">
        <v>18</v>
      </c>
      <c r="F23" s="1" t="s">
        <v>19</v>
      </c>
      <c r="G23" s="1" t="s">
        <v>20</v>
      </c>
      <c r="H23" s="1" t="s">
        <v>21</v>
      </c>
      <c r="I23" s="1" t="s">
        <v>57</v>
      </c>
      <c r="J23" s="1" t="str">
        <f>E23 &amp; K23 &amp; " " &amp; P23</f>
        <v>ンスマイ アリードゥー ナ？</v>
      </c>
      <c r="K23" s="1" t="s">
        <v>23</v>
      </c>
      <c r="L23" s="1" t="s">
        <v>24</v>
      </c>
      <c r="M23" s="1" t="s">
        <v>36</v>
      </c>
      <c r="N23" s="1" t="str">
        <f>F23 &amp; O23 &amp; Q23</f>
        <v>右もあるか？</v>
      </c>
      <c r="O23" s="1" t="s">
        <v>26</v>
      </c>
      <c r="P23" s="1" t="s">
        <v>38</v>
      </c>
      <c r="Q23" s="1" t="s">
        <v>39</v>
      </c>
    </row>
    <row r="24" spans="1:17" s="5" customFormat="1" ht="15.75" customHeight="1" x14ac:dyDescent="0.2">
      <c r="A24" s="1">
        <v>22</v>
      </c>
      <c r="B24" s="1">
        <v>3</v>
      </c>
      <c r="C24" s="1" t="s">
        <v>17</v>
      </c>
      <c r="D24" s="1">
        <v>2</v>
      </c>
      <c r="E24" s="1" t="s">
        <v>18</v>
      </c>
      <c r="F24" s="1" t="s">
        <v>19</v>
      </c>
      <c r="G24" s="1" t="s">
        <v>20</v>
      </c>
      <c r="H24" s="1" t="s">
        <v>21</v>
      </c>
      <c r="I24" s="1" t="s">
        <v>45</v>
      </c>
      <c r="J24" s="1" t="str">
        <f>E24 &amp; K24 &amp; " " &amp; P24</f>
        <v>ンスマイ ニャーン 。</v>
      </c>
      <c r="K24" s="1" t="s">
        <v>34</v>
      </c>
      <c r="L24" s="1" t="s">
        <v>35</v>
      </c>
      <c r="M24" s="1" t="s">
        <v>25</v>
      </c>
      <c r="N24" s="1" t="str">
        <f>F24 &amp; O24 &amp; Q24</f>
        <v>右もない。</v>
      </c>
      <c r="O24" s="1" t="s">
        <v>37</v>
      </c>
      <c r="P24" s="1" t="s">
        <v>27</v>
      </c>
      <c r="Q24" s="1" t="s">
        <v>27</v>
      </c>
    </row>
    <row r="25" spans="1:17" ht="15.75" customHeight="1" x14ac:dyDescent="0.2">
      <c r="A25" s="1">
        <v>46</v>
      </c>
      <c r="B25" s="1">
        <v>35</v>
      </c>
      <c r="C25" s="1" t="s">
        <v>17</v>
      </c>
      <c r="D25" s="1">
        <v>2</v>
      </c>
      <c r="E25" s="1" t="s">
        <v>18</v>
      </c>
      <c r="F25" s="1" t="s">
        <v>19</v>
      </c>
      <c r="G25" s="1" t="s">
        <v>20</v>
      </c>
      <c r="H25" s="1" t="s">
        <v>21</v>
      </c>
      <c r="I25" s="1" t="s">
        <v>33</v>
      </c>
      <c r="J25" s="1" t="str">
        <f>E25 &amp; K25 &amp; " " &amp; P25</f>
        <v>ンスマイ ニャーン ナ？</v>
      </c>
      <c r="K25" s="1" t="s">
        <v>34</v>
      </c>
      <c r="L25" s="1" t="s">
        <v>35</v>
      </c>
      <c r="M25" s="1" t="s">
        <v>36</v>
      </c>
      <c r="N25" s="1" t="str">
        <f>F25 &amp; O25 &amp; Q25</f>
        <v>右もないか？</v>
      </c>
      <c r="O25" s="1" t="s">
        <v>37</v>
      </c>
      <c r="P25" s="1" t="s">
        <v>38</v>
      </c>
      <c r="Q25" s="1" t="s">
        <v>39</v>
      </c>
    </row>
    <row r="26" spans="1:17" ht="15.75" customHeight="1" x14ac:dyDescent="0.2">
      <c r="A26" s="1">
        <v>30</v>
      </c>
      <c r="B26" s="1">
        <v>60</v>
      </c>
      <c r="C26" s="1" t="s">
        <v>40</v>
      </c>
      <c r="D26" s="1">
        <v>14</v>
      </c>
      <c r="E26" s="1" t="s">
        <v>91</v>
      </c>
      <c r="F26" s="1" t="s">
        <v>92</v>
      </c>
      <c r="G26" s="1" t="s">
        <v>93</v>
      </c>
      <c r="H26" s="1" t="s">
        <v>94</v>
      </c>
      <c r="I26" s="1" t="s">
        <v>57</v>
      </c>
      <c r="J26" s="1" t="str">
        <f>E26 &amp; K26 &amp; " " &amp; P26</f>
        <v>アラマイ アリードゥー ナ？</v>
      </c>
      <c r="K26" s="1" t="s">
        <v>23</v>
      </c>
      <c r="L26" s="1" t="s">
        <v>24</v>
      </c>
      <c r="M26" s="1" t="s">
        <v>36</v>
      </c>
      <c r="N26" s="1" t="str">
        <f>F26 &amp; O26 &amp; Q26</f>
        <v>外もあるか？</v>
      </c>
      <c r="O26" s="1" t="s">
        <v>26</v>
      </c>
      <c r="P26" s="1" t="s">
        <v>38</v>
      </c>
      <c r="Q26" s="1" t="s">
        <v>39</v>
      </c>
    </row>
    <row r="27" spans="1:17" ht="15.75" customHeight="1" x14ac:dyDescent="0.2">
      <c r="A27" s="1">
        <v>42</v>
      </c>
      <c r="B27" s="1">
        <v>28</v>
      </c>
      <c r="C27" s="1" t="s">
        <v>40</v>
      </c>
      <c r="D27" s="1">
        <v>14</v>
      </c>
      <c r="E27" s="1" t="s">
        <v>91</v>
      </c>
      <c r="F27" s="1" t="s">
        <v>92</v>
      </c>
      <c r="G27" s="1" t="s">
        <v>93</v>
      </c>
      <c r="H27" s="1" t="s">
        <v>94</v>
      </c>
      <c r="I27" s="1" t="s">
        <v>22</v>
      </c>
      <c r="J27" s="1" t="str">
        <f>E27 &amp; K27 &amp; " " &amp; P27</f>
        <v>アラマイ アリードゥー 。</v>
      </c>
      <c r="K27" s="1" t="s">
        <v>23</v>
      </c>
      <c r="L27" s="1" t="s">
        <v>24</v>
      </c>
      <c r="M27" s="1" t="s">
        <v>25</v>
      </c>
      <c r="N27" s="1" t="str">
        <f>F27 &amp; O27 &amp; Q27</f>
        <v>外もある。</v>
      </c>
      <c r="O27" s="1" t="s">
        <v>26</v>
      </c>
      <c r="P27" s="1" t="s">
        <v>27</v>
      </c>
      <c r="Q27" s="1" t="s">
        <v>27</v>
      </c>
    </row>
    <row r="28" spans="1:17" ht="15.75" customHeight="1" x14ac:dyDescent="0.2">
      <c r="A28" s="1">
        <v>51</v>
      </c>
      <c r="B28" s="1">
        <v>27</v>
      </c>
      <c r="C28" s="1" t="s">
        <v>40</v>
      </c>
      <c r="D28" s="1">
        <v>14</v>
      </c>
      <c r="E28" s="1" t="s">
        <v>91</v>
      </c>
      <c r="F28" s="1" t="s">
        <v>92</v>
      </c>
      <c r="G28" s="1" t="s">
        <v>93</v>
      </c>
      <c r="H28" s="1" t="s">
        <v>94</v>
      </c>
      <c r="I28" s="1" t="s">
        <v>45</v>
      </c>
      <c r="J28" s="1" t="str">
        <f>E28 &amp; K28 &amp; " " &amp; P28</f>
        <v>アラマイ ニャーン 。</v>
      </c>
      <c r="K28" s="1" t="s">
        <v>34</v>
      </c>
      <c r="L28" s="1" t="s">
        <v>35</v>
      </c>
      <c r="M28" s="1" t="s">
        <v>25</v>
      </c>
      <c r="N28" s="1" t="str">
        <f>F28 &amp; O28 &amp; Q28</f>
        <v>外もない。</v>
      </c>
      <c r="O28" s="1" t="s">
        <v>37</v>
      </c>
      <c r="P28" s="1" t="s">
        <v>27</v>
      </c>
      <c r="Q28" s="1" t="s">
        <v>27</v>
      </c>
    </row>
    <row r="29" spans="1:17" ht="15.75" customHeight="1" x14ac:dyDescent="0.2">
      <c r="A29" s="1">
        <v>61</v>
      </c>
      <c r="B29" s="1">
        <v>59</v>
      </c>
      <c r="C29" s="1" t="s">
        <v>40</v>
      </c>
      <c r="D29" s="1">
        <v>14</v>
      </c>
      <c r="E29" s="1" t="s">
        <v>91</v>
      </c>
      <c r="F29" s="1" t="s">
        <v>92</v>
      </c>
      <c r="G29" s="1" t="s">
        <v>93</v>
      </c>
      <c r="H29" s="1" t="s">
        <v>94</v>
      </c>
      <c r="I29" s="1" t="s">
        <v>33</v>
      </c>
      <c r="J29" s="1" t="str">
        <f>E29 &amp; K29 &amp; " " &amp; P29</f>
        <v>アラマイ ニャーン ナ？</v>
      </c>
      <c r="K29" s="1" t="s">
        <v>34</v>
      </c>
      <c r="L29" s="1" t="s">
        <v>35</v>
      </c>
      <c r="M29" s="1" t="s">
        <v>36</v>
      </c>
      <c r="N29" s="1" t="str">
        <f>F29 &amp; O29 &amp; Q29</f>
        <v>外もないか？</v>
      </c>
      <c r="O29" s="1" t="s">
        <v>37</v>
      </c>
      <c r="P29" s="1" t="s">
        <v>38</v>
      </c>
      <c r="Q29" s="1" t="s">
        <v>39</v>
      </c>
    </row>
    <row r="30" spans="1:17" s="5" customFormat="1" ht="15.75" customHeight="1" x14ac:dyDescent="0.2">
      <c r="A30" s="1">
        <v>5</v>
      </c>
      <c r="B30" s="1">
        <v>34</v>
      </c>
      <c r="C30" s="1" t="s">
        <v>17</v>
      </c>
      <c r="D30" s="1">
        <v>1</v>
      </c>
      <c r="E30" s="1" t="s">
        <v>50</v>
      </c>
      <c r="F30" s="1" t="s">
        <v>51</v>
      </c>
      <c r="G30" s="1" t="s">
        <v>52</v>
      </c>
      <c r="H30" s="1" t="s">
        <v>53</v>
      </c>
      <c r="I30" s="1" t="s">
        <v>54</v>
      </c>
      <c r="J30" s="1" t="str">
        <f>E30 &amp; K30 &amp; " " &amp; P30</f>
        <v>ブトゥマイ ウリードゥー ナ？</v>
      </c>
      <c r="K30" s="1" t="s">
        <v>55</v>
      </c>
      <c r="L30" s="1" t="s">
        <v>24</v>
      </c>
      <c r="M30" s="1" t="s">
        <v>36</v>
      </c>
      <c r="N30" s="1" t="str">
        <f>F30 &amp; O30 &amp; Q30</f>
        <v>夫もいるか？</v>
      </c>
      <c r="O30" s="1" t="s">
        <v>56</v>
      </c>
      <c r="P30" s="1" t="s">
        <v>38</v>
      </c>
      <c r="Q30" s="1" t="s">
        <v>39</v>
      </c>
    </row>
    <row r="31" spans="1:17" s="5" customFormat="1" ht="15.75" customHeight="1" x14ac:dyDescent="0.2">
      <c r="A31" s="1">
        <v>8</v>
      </c>
      <c r="B31" s="1">
        <v>2</v>
      </c>
      <c r="C31" s="1" t="s">
        <v>17</v>
      </c>
      <c r="D31" s="1">
        <v>1</v>
      </c>
      <c r="E31" s="1" t="s">
        <v>50</v>
      </c>
      <c r="F31" s="1" t="s">
        <v>51</v>
      </c>
      <c r="G31" s="1" t="s">
        <v>52</v>
      </c>
      <c r="H31" s="1" t="s">
        <v>53</v>
      </c>
      <c r="I31" s="1" t="s">
        <v>58</v>
      </c>
      <c r="J31" s="1" t="str">
        <f>E31 &amp; K31 &amp; " " &amp; P31</f>
        <v>ブトゥマイ ウリードゥー 。</v>
      </c>
      <c r="K31" s="1" t="s">
        <v>55</v>
      </c>
      <c r="L31" s="1" t="s">
        <v>24</v>
      </c>
      <c r="M31" s="1" t="s">
        <v>25</v>
      </c>
      <c r="N31" s="1" t="str">
        <f>F31 &amp; O31 &amp; Q31</f>
        <v>夫もいる。</v>
      </c>
      <c r="O31" s="1" t="s">
        <v>56</v>
      </c>
      <c r="P31" s="1" t="s">
        <v>27</v>
      </c>
      <c r="Q31" s="1" t="s">
        <v>27</v>
      </c>
    </row>
    <row r="32" spans="1:17" ht="15.75" customHeight="1" x14ac:dyDescent="0.2">
      <c r="A32" s="1">
        <v>28</v>
      </c>
      <c r="B32" s="1">
        <v>33</v>
      </c>
      <c r="C32" s="1" t="s">
        <v>17</v>
      </c>
      <c r="D32" s="1">
        <v>1</v>
      </c>
      <c r="E32" s="1" t="s">
        <v>50</v>
      </c>
      <c r="F32" s="1" t="s">
        <v>51</v>
      </c>
      <c r="G32" s="1" t="s">
        <v>52</v>
      </c>
      <c r="H32" s="1" t="s">
        <v>53</v>
      </c>
      <c r="I32" s="1" t="s">
        <v>75</v>
      </c>
      <c r="J32" s="1" t="str">
        <f>E32 &amp; K32 &amp; " " &amp; P32</f>
        <v>ブトゥマイ ミーン ナ？</v>
      </c>
      <c r="K32" s="1" t="s">
        <v>76</v>
      </c>
      <c r="L32" s="1" t="s">
        <v>35</v>
      </c>
      <c r="M32" s="1" t="s">
        <v>36</v>
      </c>
      <c r="N32" s="1" t="str">
        <f>F32 &amp; O32 &amp; Q32</f>
        <v>夫もいないか？</v>
      </c>
      <c r="O32" s="1" t="s">
        <v>77</v>
      </c>
      <c r="P32" s="1" t="s">
        <v>38</v>
      </c>
      <c r="Q32" s="1" t="s">
        <v>39</v>
      </c>
    </row>
    <row r="33" spans="1:17" s="5" customFormat="1" ht="15.75" customHeight="1" x14ac:dyDescent="0.2">
      <c r="A33" s="1">
        <v>33</v>
      </c>
      <c r="B33" s="1">
        <v>1</v>
      </c>
      <c r="C33" s="1" t="s">
        <v>17</v>
      </c>
      <c r="D33" s="1">
        <v>1</v>
      </c>
      <c r="E33" s="1" t="s">
        <v>50</v>
      </c>
      <c r="F33" s="1" t="s">
        <v>51</v>
      </c>
      <c r="G33" s="1" t="s">
        <v>52</v>
      </c>
      <c r="H33" s="1" t="s">
        <v>53</v>
      </c>
      <c r="I33" s="1" t="s">
        <v>82</v>
      </c>
      <c r="J33" s="1" t="str">
        <f>E33 &amp; K33 &amp; " " &amp; P33</f>
        <v>ブトゥマイ ミーン 。</v>
      </c>
      <c r="K33" s="1" t="s">
        <v>76</v>
      </c>
      <c r="L33" s="1" t="s">
        <v>35</v>
      </c>
      <c r="M33" s="1" t="s">
        <v>25</v>
      </c>
      <c r="N33" s="1" t="str">
        <f>F33 &amp; O33 &amp; Q33</f>
        <v>夫もいない。</v>
      </c>
      <c r="O33" s="1" t="s">
        <v>77</v>
      </c>
      <c r="P33" s="1" t="s">
        <v>27</v>
      </c>
      <c r="Q33" s="1" t="s">
        <v>27</v>
      </c>
    </row>
    <row r="34" spans="1:17" ht="15.75" customHeight="1" x14ac:dyDescent="0.2">
      <c r="A34" s="1">
        <v>14</v>
      </c>
      <c r="B34" s="1">
        <v>37</v>
      </c>
      <c r="C34" s="1" t="s">
        <v>17</v>
      </c>
      <c r="D34" s="1">
        <v>3</v>
      </c>
      <c r="E34" s="1" t="s">
        <v>71</v>
      </c>
      <c r="F34" s="1" t="s">
        <v>72</v>
      </c>
      <c r="G34" s="1" t="s">
        <v>73</v>
      </c>
      <c r="H34" s="1" t="s">
        <v>74</v>
      </c>
      <c r="I34" s="1" t="s">
        <v>75</v>
      </c>
      <c r="J34" s="1" t="str">
        <f>E34 &amp; K34 &amp; " " &amp; P34</f>
        <v>トゥズマイ ミーン ナ？</v>
      </c>
      <c r="K34" s="1" t="s">
        <v>76</v>
      </c>
      <c r="L34" s="1" t="s">
        <v>35</v>
      </c>
      <c r="M34" s="1" t="s">
        <v>36</v>
      </c>
      <c r="N34" s="1" t="str">
        <f>F34 &amp; O34 &amp; Q34</f>
        <v>妻もいないか？</v>
      </c>
      <c r="O34" s="1" t="s">
        <v>77</v>
      </c>
      <c r="P34" s="1" t="s">
        <v>38</v>
      </c>
      <c r="Q34" s="1" t="s">
        <v>39</v>
      </c>
    </row>
    <row r="35" spans="1:17" ht="15.75" customHeight="1" x14ac:dyDescent="0.2">
      <c r="A35" s="1">
        <v>16</v>
      </c>
      <c r="B35" s="1">
        <v>6</v>
      </c>
      <c r="C35" s="1" t="s">
        <v>17</v>
      </c>
      <c r="D35" s="1">
        <v>3</v>
      </c>
      <c r="E35" s="1" t="s">
        <v>71</v>
      </c>
      <c r="F35" s="1" t="s">
        <v>72</v>
      </c>
      <c r="G35" s="1" t="s">
        <v>73</v>
      </c>
      <c r="H35" s="1" t="s">
        <v>74</v>
      </c>
      <c r="I35" s="1" t="s">
        <v>58</v>
      </c>
      <c r="J35" s="1" t="str">
        <f>E35 &amp; K35 &amp; " " &amp; P35</f>
        <v>トゥズマイ ウリードゥー 。</v>
      </c>
      <c r="K35" s="1" t="s">
        <v>55</v>
      </c>
      <c r="L35" s="1" t="s">
        <v>24</v>
      </c>
      <c r="M35" s="1" t="s">
        <v>25</v>
      </c>
      <c r="N35" s="1" t="str">
        <f>F35 &amp; O35 &amp; Q35</f>
        <v>妻もいる。</v>
      </c>
      <c r="O35" s="1" t="s">
        <v>56</v>
      </c>
      <c r="P35" s="1" t="s">
        <v>27</v>
      </c>
      <c r="Q35" s="1" t="s">
        <v>27</v>
      </c>
    </row>
    <row r="36" spans="1:17" s="5" customFormat="1" ht="15.75" customHeight="1" x14ac:dyDescent="0.2">
      <c r="A36" s="1">
        <v>18</v>
      </c>
      <c r="B36" s="1">
        <v>5</v>
      </c>
      <c r="C36" s="1" t="s">
        <v>17</v>
      </c>
      <c r="D36" s="1">
        <v>3</v>
      </c>
      <c r="E36" s="1" t="s">
        <v>71</v>
      </c>
      <c r="F36" s="1" t="s">
        <v>72</v>
      </c>
      <c r="G36" s="1" t="s">
        <v>73</v>
      </c>
      <c r="H36" s="1" t="s">
        <v>74</v>
      </c>
      <c r="I36" s="1" t="s">
        <v>82</v>
      </c>
      <c r="J36" s="1" t="str">
        <f>E36 &amp; K36 &amp; " " &amp; P36</f>
        <v>トゥズマイ ミーン 。</v>
      </c>
      <c r="K36" s="1" t="s">
        <v>76</v>
      </c>
      <c r="L36" s="1" t="s">
        <v>35</v>
      </c>
      <c r="M36" s="1" t="s">
        <v>25</v>
      </c>
      <c r="N36" s="1" t="str">
        <f>F36 &amp; O36 &amp; Q36</f>
        <v>妻もいない。</v>
      </c>
      <c r="O36" s="1" t="s">
        <v>77</v>
      </c>
      <c r="P36" s="1" t="s">
        <v>27</v>
      </c>
      <c r="Q36" s="1" t="s">
        <v>27</v>
      </c>
    </row>
    <row r="37" spans="1:17" ht="15.75" customHeight="1" x14ac:dyDescent="0.2">
      <c r="A37" s="1">
        <v>56</v>
      </c>
      <c r="B37" s="1">
        <v>38</v>
      </c>
      <c r="C37" s="1" t="s">
        <v>17</v>
      </c>
      <c r="D37" s="1">
        <v>3</v>
      </c>
      <c r="E37" s="1" t="s">
        <v>71</v>
      </c>
      <c r="F37" s="1" t="s">
        <v>72</v>
      </c>
      <c r="G37" s="1" t="s">
        <v>73</v>
      </c>
      <c r="H37" s="1" t="s">
        <v>74</v>
      </c>
      <c r="I37" s="1" t="s">
        <v>54</v>
      </c>
      <c r="J37" s="1" t="str">
        <f>E37 &amp; K37 &amp; " " &amp; P37</f>
        <v>トゥズマイ アリードゥー ナ？</v>
      </c>
      <c r="K37" s="1" t="s">
        <v>23</v>
      </c>
      <c r="L37" s="1" t="s">
        <v>24</v>
      </c>
      <c r="M37" s="1" t="s">
        <v>36</v>
      </c>
      <c r="N37" s="1" t="str">
        <f>F37 &amp; O37 &amp; Q37</f>
        <v>妻もいるか？</v>
      </c>
      <c r="O37" s="1" t="s">
        <v>56</v>
      </c>
      <c r="P37" s="1" t="s">
        <v>38</v>
      </c>
      <c r="Q37" s="1" t="s">
        <v>39</v>
      </c>
    </row>
    <row r="38" spans="1:17" s="5" customFormat="1" ht="15.75" customHeight="1" x14ac:dyDescent="0.2">
      <c r="A38" s="1">
        <v>11</v>
      </c>
      <c r="B38" s="1">
        <v>40</v>
      </c>
      <c r="C38" s="1" t="s">
        <v>17</v>
      </c>
      <c r="D38" s="1">
        <v>4</v>
      </c>
      <c r="E38" s="1" t="s">
        <v>63</v>
      </c>
      <c r="F38" s="1" t="s">
        <v>64</v>
      </c>
      <c r="G38" s="1" t="s">
        <v>65</v>
      </c>
      <c r="H38" s="1" t="s">
        <v>66</v>
      </c>
      <c r="I38" s="1" t="s">
        <v>57</v>
      </c>
      <c r="J38" s="1" t="str">
        <f>E38 &amp; K38 &amp; " " &amp; P38</f>
        <v>ティビマイ アリードゥー ナ？</v>
      </c>
      <c r="K38" s="1" t="s">
        <v>23</v>
      </c>
      <c r="L38" s="1" t="s">
        <v>24</v>
      </c>
      <c r="M38" s="1" t="s">
        <v>36</v>
      </c>
      <c r="N38" s="1" t="str">
        <f>F38 &amp; O38 &amp; Q38</f>
        <v>後ろもあるか？</v>
      </c>
      <c r="O38" s="1" t="s">
        <v>26</v>
      </c>
      <c r="P38" s="1" t="s">
        <v>38</v>
      </c>
      <c r="Q38" s="1" t="s">
        <v>39</v>
      </c>
    </row>
    <row r="39" spans="1:17" s="5" customFormat="1" ht="15.75" customHeight="1" x14ac:dyDescent="0.2">
      <c r="A39" s="1">
        <v>17</v>
      </c>
      <c r="B39" s="1">
        <v>39</v>
      </c>
      <c r="C39" s="1" t="s">
        <v>17</v>
      </c>
      <c r="D39" s="1">
        <v>4</v>
      </c>
      <c r="E39" s="1" t="s">
        <v>63</v>
      </c>
      <c r="F39" s="1" t="s">
        <v>64</v>
      </c>
      <c r="G39" s="1" t="s">
        <v>65</v>
      </c>
      <c r="H39" s="1" t="s">
        <v>66</v>
      </c>
      <c r="I39" s="1" t="s">
        <v>33</v>
      </c>
      <c r="J39" s="1" t="str">
        <f>E39 &amp; K39 &amp; " " &amp; P39</f>
        <v>ティビマイ ニャーン ナ？</v>
      </c>
      <c r="K39" s="1" t="s">
        <v>34</v>
      </c>
      <c r="L39" s="1" t="s">
        <v>35</v>
      </c>
      <c r="M39" s="1" t="s">
        <v>36</v>
      </c>
      <c r="N39" s="1" t="str">
        <f>F39 &amp; O39 &amp; Q39</f>
        <v>後ろもないか？</v>
      </c>
      <c r="O39" s="1" t="s">
        <v>37</v>
      </c>
      <c r="P39" s="1" t="s">
        <v>38</v>
      </c>
      <c r="Q39" s="1" t="s">
        <v>39</v>
      </c>
    </row>
    <row r="40" spans="1:17" s="5" customFormat="1" ht="15.75" customHeight="1" x14ac:dyDescent="0.2">
      <c r="A40" s="1">
        <v>21</v>
      </c>
      <c r="B40" s="1">
        <v>8</v>
      </c>
      <c r="C40" s="1" t="s">
        <v>17</v>
      </c>
      <c r="D40" s="1">
        <v>4</v>
      </c>
      <c r="E40" s="1" t="s">
        <v>63</v>
      </c>
      <c r="F40" s="1" t="s">
        <v>64</v>
      </c>
      <c r="G40" s="1" t="s">
        <v>65</v>
      </c>
      <c r="H40" s="1" t="s">
        <v>66</v>
      </c>
      <c r="I40" s="1" t="s">
        <v>22</v>
      </c>
      <c r="J40" s="1" t="str">
        <f>E40 &amp; K40 &amp; " " &amp; P40</f>
        <v>ティビマイ アリードゥー 。</v>
      </c>
      <c r="K40" s="1" t="s">
        <v>23</v>
      </c>
      <c r="L40" s="1" t="s">
        <v>24</v>
      </c>
      <c r="M40" s="1" t="s">
        <v>25</v>
      </c>
      <c r="N40" s="1" t="str">
        <f>F40 &amp; O40 &amp; Q40</f>
        <v>後ろもある。</v>
      </c>
      <c r="O40" s="1" t="s">
        <v>26</v>
      </c>
      <c r="P40" s="1" t="s">
        <v>27</v>
      </c>
      <c r="Q40" s="1" t="s">
        <v>27</v>
      </c>
    </row>
    <row r="41" spans="1:17" s="5" customFormat="1" ht="15.75" customHeight="1" x14ac:dyDescent="0.2">
      <c r="A41" s="1">
        <v>49</v>
      </c>
      <c r="B41" s="1">
        <v>7</v>
      </c>
      <c r="C41" s="1" t="s">
        <v>17</v>
      </c>
      <c r="D41" s="1">
        <v>4</v>
      </c>
      <c r="E41" s="1" t="s">
        <v>63</v>
      </c>
      <c r="F41" s="1" t="s">
        <v>64</v>
      </c>
      <c r="G41" s="1" t="s">
        <v>65</v>
      </c>
      <c r="H41" s="1" t="s">
        <v>66</v>
      </c>
      <c r="I41" s="1" t="s">
        <v>45</v>
      </c>
      <c r="J41" s="1" t="str">
        <f>E41 &amp; K41 &amp; " " &amp; P41</f>
        <v>ティビマイ ニャーン 。</v>
      </c>
      <c r="K41" s="1" t="s">
        <v>34</v>
      </c>
      <c r="L41" s="1" t="s">
        <v>35</v>
      </c>
      <c r="M41" s="1" t="s">
        <v>25</v>
      </c>
      <c r="N41" s="1" t="str">
        <f>F41 &amp; O41 &amp; Q41</f>
        <v>後ろもない。</v>
      </c>
      <c r="O41" s="1" t="s">
        <v>37</v>
      </c>
      <c r="P41" s="1" t="s">
        <v>27</v>
      </c>
      <c r="Q41" s="1" t="s">
        <v>27</v>
      </c>
    </row>
    <row r="42" spans="1:17" s="5" customFormat="1" ht="15.75" customHeight="1" x14ac:dyDescent="0.2">
      <c r="A42" s="4">
        <v>15</v>
      </c>
      <c r="B42" s="4">
        <v>61</v>
      </c>
      <c r="C42" s="4" t="s">
        <v>40</v>
      </c>
      <c r="D42" s="4">
        <v>15</v>
      </c>
      <c r="E42" s="4" t="s">
        <v>101</v>
      </c>
      <c r="F42" s="4" t="s">
        <v>102</v>
      </c>
      <c r="G42" s="4" t="s">
        <v>103</v>
      </c>
      <c r="H42" s="4" t="s">
        <v>104</v>
      </c>
      <c r="I42" s="4" t="s">
        <v>33</v>
      </c>
      <c r="J42" s="4" t="str">
        <f>E42 &amp; K42 &amp; " " &amp; P42</f>
        <v>ティダマイ ニャーン ナ？</v>
      </c>
      <c r="K42" s="4" t="s">
        <v>34</v>
      </c>
      <c r="L42" s="4" t="s">
        <v>35</v>
      </c>
      <c r="M42" s="4" t="s">
        <v>36</v>
      </c>
      <c r="N42" s="4" t="str">
        <f>F42 &amp; O42 &amp; Q42</f>
        <v>太陽もないか？</v>
      </c>
      <c r="O42" s="4" t="s">
        <v>37</v>
      </c>
      <c r="P42" s="4" t="s">
        <v>38</v>
      </c>
      <c r="Q42" s="4" t="s">
        <v>39</v>
      </c>
    </row>
    <row r="43" spans="1:17" s="5" customFormat="1" ht="15.75" customHeight="1" x14ac:dyDescent="0.2">
      <c r="A43" s="4">
        <v>32</v>
      </c>
      <c r="B43" s="4">
        <v>62</v>
      </c>
      <c r="C43" s="4" t="s">
        <v>40</v>
      </c>
      <c r="D43" s="4">
        <v>15</v>
      </c>
      <c r="E43" s="4" t="s">
        <v>101</v>
      </c>
      <c r="F43" s="4" t="s">
        <v>102</v>
      </c>
      <c r="G43" s="4" t="s">
        <v>105</v>
      </c>
      <c r="H43" s="4" t="s">
        <v>104</v>
      </c>
      <c r="I43" s="4" t="s">
        <v>57</v>
      </c>
      <c r="J43" s="4" t="str">
        <f>E43 &amp; K43 &amp; " " &amp; P43</f>
        <v>ティダマイ アリードゥー ナ？</v>
      </c>
      <c r="K43" s="4" t="s">
        <v>23</v>
      </c>
      <c r="L43" s="4" t="s">
        <v>24</v>
      </c>
      <c r="M43" s="4" t="s">
        <v>36</v>
      </c>
      <c r="N43" s="4" t="str">
        <f>F43 &amp; O43 &amp; Q43</f>
        <v>太陽もあるか？</v>
      </c>
      <c r="O43" s="4" t="s">
        <v>26</v>
      </c>
      <c r="P43" s="4" t="s">
        <v>38</v>
      </c>
      <c r="Q43" s="4" t="s">
        <v>39</v>
      </c>
    </row>
    <row r="44" spans="1:17" s="5" customFormat="1" ht="15.75" customHeight="1" x14ac:dyDescent="0.2">
      <c r="A44" s="4">
        <v>41</v>
      </c>
      <c r="B44" s="4">
        <v>30</v>
      </c>
      <c r="C44" s="4" t="s">
        <v>40</v>
      </c>
      <c r="D44" s="4">
        <v>15</v>
      </c>
      <c r="E44" s="4" t="s">
        <v>101</v>
      </c>
      <c r="F44" s="4" t="s">
        <v>102</v>
      </c>
      <c r="G44" s="4" t="s">
        <v>106</v>
      </c>
      <c r="H44" s="4" t="s">
        <v>104</v>
      </c>
      <c r="I44" s="4" t="s">
        <v>22</v>
      </c>
      <c r="J44" s="4" t="str">
        <f>E44 &amp; K44 &amp; " " &amp; P44</f>
        <v>ティダマイ アリードゥー 。</v>
      </c>
      <c r="K44" s="4" t="s">
        <v>23</v>
      </c>
      <c r="L44" s="4" t="s">
        <v>24</v>
      </c>
      <c r="M44" s="4" t="s">
        <v>25</v>
      </c>
      <c r="N44" s="4" t="str">
        <f>F44 &amp; O44 &amp; Q44</f>
        <v>太陽もある。</v>
      </c>
      <c r="O44" s="4" t="s">
        <v>26</v>
      </c>
      <c r="P44" s="4" t="s">
        <v>27</v>
      </c>
      <c r="Q44" s="4" t="s">
        <v>27</v>
      </c>
    </row>
    <row r="45" spans="1:17" s="5" customFormat="1" ht="15.75" customHeight="1" x14ac:dyDescent="0.2">
      <c r="A45" s="4">
        <v>58</v>
      </c>
      <c r="B45" s="4">
        <v>29</v>
      </c>
      <c r="C45" s="4" t="s">
        <v>40</v>
      </c>
      <c r="D45" s="4">
        <v>15</v>
      </c>
      <c r="E45" s="4" t="s">
        <v>101</v>
      </c>
      <c r="F45" s="4" t="s">
        <v>102</v>
      </c>
      <c r="G45" s="4" t="s">
        <v>107</v>
      </c>
      <c r="H45" s="4" t="s">
        <v>104</v>
      </c>
      <c r="I45" s="4" t="s">
        <v>45</v>
      </c>
      <c r="J45" s="4" t="str">
        <f>E45 &amp; K45 &amp; " " &amp; P45</f>
        <v>ティダマイ ニャーン 。</v>
      </c>
      <c r="K45" s="4" t="s">
        <v>34</v>
      </c>
      <c r="L45" s="4" t="s">
        <v>35</v>
      </c>
      <c r="M45" s="4" t="s">
        <v>25</v>
      </c>
      <c r="N45" s="4" t="str">
        <f>F45 &amp; O45 &amp; Q45</f>
        <v>太陽もない。</v>
      </c>
      <c r="O45" s="4" t="s">
        <v>37</v>
      </c>
      <c r="P45" s="4" t="s">
        <v>27</v>
      </c>
      <c r="Q45" s="4" t="s">
        <v>27</v>
      </c>
    </row>
    <row r="46" spans="1:17" ht="15.75" customHeight="1" x14ac:dyDescent="0.2">
      <c r="A46" s="1">
        <v>4</v>
      </c>
      <c r="B46" s="1">
        <v>26</v>
      </c>
      <c r="C46" s="1" t="s">
        <v>40</v>
      </c>
      <c r="D46" s="1">
        <v>13</v>
      </c>
      <c r="E46" s="1" t="s">
        <v>46</v>
      </c>
      <c r="F46" s="1" t="s">
        <v>47</v>
      </c>
      <c r="G46" s="1" t="s">
        <v>48</v>
      </c>
      <c r="H46" s="1" t="s">
        <v>49</v>
      </c>
      <c r="I46" s="1" t="s">
        <v>22</v>
      </c>
      <c r="J46" s="1" t="str">
        <f>E46 &amp; K46 &amp; " " &amp; P46</f>
        <v>インマイ アリードゥー 。</v>
      </c>
      <c r="K46" s="1" t="s">
        <v>23</v>
      </c>
      <c r="L46" s="1" t="s">
        <v>24</v>
      </c>
      <c r="M46" s="1" t="s">
        <v>25</v>
      </c>
      <c r="N46" s="1" t="str">
        <f>F46 &amp; O46 &amp; Q46</f>
        <v>海もある。</v>
      </c>
      <c r="O46" s="1" t="s">
        <v>26</v>
      </c>
      <c r="P46" s="1" t="s">
        <v>27</v>
      </c>
      <c r="Q46" s="1" t="s">
        <v>27</v>
      </c>
    </row>
    <row r="47" spans="1:17" ht="15.75" customHeight="1" x14ac:dyDescent="0.2">
      <c r="A47" s="1">
        <v>13</v>
      </c>
      <c r="B47" s="1">
        <v>25</v>
      </c>
      <c r="C47" s="1" t="s">
        <v>40</v>
      </c>
      <c r="D47" s="1">
        <v>13</v>
      </c>
      <c r="E47" s="1" t="s">
        <v>46</v>
      </c>
      <c r="F47" s="1" t="s">
        <v>47</v>
      </c>
      <c r="G47" s="1" t="s">
        <v>48</v>
      </c>
      <c r="H47" s="1" t="s">
        <v>49</v>
      </c>
      <c r="I47" s="1" t="s">
        <v>45</v>
      </c>
      <c r="J47" s="1" t="str">
        <f>E47 &amp; K47 &amp; " " &amp; P47</f>
        <v>インマイ ニャーン 。</v>
      </c>
      <c r="K47" s="1" t="s">
        <v>34</v>
      </c>
      <c r="L47" s="1" t="s">
        <v>35</v>
      </c>
      <c r="M47" s="1" t="s">
        <v>25</v>
      </c>
      <c r="N47" s="1" t="str">
        <f>F47 &amp; O47 &amp; Q47</f>
        <v>海もない。</v>
      </c>
      <c r="O47" s="1" t="s">
        <v>37</v>
      </c>
      <c r="P47" s="1" t="s">
        <v>27</v>
      </c>
      <c r="Q47" s="1" t="s">
        <v>27</v>
      </c>
    </row>
    <row r="48" spans="1:17" ht="15.75" customHeight="1" x14ac:dyDescent="0.2">
      <c r="A48" s="1">
        <v>34</v>
      </c>
      <c r="B48" s="1">
        <v>58</v>
      </c>
      <c r="C48" s="1" t="s">
        <v>40</v>
      </c>
      <c r="D48" s="1">
        <v>13</v>
      </c>
      <c r="E48" s="1" t="s">
        <v>46</v>
      </c>
      <c r="F48" s="1" t="s">
        <v>47</v>
      </c>
      <c r="G48" s="1" t="s">
        <v>48</v>
      </c>
      <c r="H48" s="1" t="s">
        <v>49</v>
      </c>
      <c r="I48" s="1" t="s">
        <v>54</v>
      </c>
      <c r="J48" s="1" t="str">
        <f>E48 &amp; K48 &amp; " " &amp; P48</f>
        <v>インマイ アリードゥー ナ？</v>
      </c>
      <c r="K48" s="1" t="s">
        <v>23</v>
      </c>
      <c r="L48" s="1" t="s">
        <v>24</v>
      </c>
      <c r="M48" s="1" t="s">
        <v>36</v>
      </c>
      <c r="N48" s="1" t="str">
        <f>F48 &amp; O48 &amp; Q48</f>
        <v>海もあるか？</v>
      </c>
      <c r="O48" s="1" t="s">
        <v>26</v>
      </c>
      <c r="P48" s="1" t="s">
        <v>38</v>
      </c>
      <c r="Q48" s="1" t="s">
        <v>39</v>
      </c>
    </row>
    <row r="49" spans="1:17" ht="15.75" customHeight="1" x14ac:dyDescent="0.2">
      <c r="A49" s="1">
        <v>53</v>
      </c>
      <c r="B49" s="1">
        <v>57</v>
      </c>
      <c r="C49" s="1" t="s">
        <v>40</v>
      </c>
      <c r="D49" s="1">
        <v>13</v>
      </c>
      <c r="E49" s="1" t="s">
        <v>46</v>
      </c>
      <c r="F49" s="1" t="s">
        <v>47</v>
      </c>
      <c r="G49" s="1" t="s">
        <v>48</v>
      </c>
      <c r="H49" s="1" t="s">
        <v>49</v>
      </c>
      <c r="I49" s="1" t="s">
        <v>75</v>
      </c>
      <c r="J49" s="1" t="str">
        <f>E49 &amp; K49 &amp; " " &amp; P49</f>
        <v>インマイ ニャーン ナ？</v>
      </c>
      <c r="K49" s="1" t="s">
        <v>34</v>
      </c>
      <c r="L49" s="1" t="s">
        <v>35</v>
      </c>
      <c r="M49" s="1" t="s">
        <v>36</v>
      </c>
      <c r="N49" s="1" t="str">
        <f>F49 &amp; O49 &amp; Q49</f>
        <v>海もないか？</v>
      </c>
      <c r="O49" s="1" t="s">
        <v>37</v>
      </c>
      <c r="P49" s="1" t="s">
        <v>38</v>
      </c>
      <c r="Q49" s="1" t="s">
        <v>39</v>
      </c>
    </row>
    <row r="50" spans="1:17" ht="15.75" customHeight="1" x14ac:dyDescent="0.2">
      <c r="A50" s="1">
        <v>35</v>
      </c>
      <c r="B50" s="1">
        <v>13</v>
      </c>
      <c r="C50" s="1" t="s">
        <v>28</v>
      </c>
      <c r="D50" s="1">
        <v>7</v>
      </c>
      <c r="E50" s="1" t="s">
        <v>46</v>
      </c>
      <c r="F50" s="1" t="s">
        <v>95</v>
      </c>
      <c r="G50" s="1" t="s">
        <v>96</v>
      </c>
      <c r="H50" s="1" t="s">
        <v>49</v>
      </c>
      <c r="I50" s="1" t="s">
        <v>82</v>
      </c>
      <c r="J50" s="1" t="str">
        <f>E50 &amp; K50 &amp; " " &amp; P50</f>
        <v>インマイ ミーン 。</v>
      </c>
      <c r="K50" s="1" t="s">
        <v>76</v>
      </c>
      <c r="L50" s="1" t="s">
        <v>35</v>
      </c>
      <c r="M50" s="1" t="s">
        <v>25</v>
      </c>
      <c r="N50" s="1" t="str">
        <f>F50 &amp; O50 &amp; Q50</f>
        <v>犬もいない。</v>
      </c>
      <c r="O50" s="1" t="s">
        <v>77</v>
      </c>
      <c r="P50" s="1" t="s">
        <v>27</v>
      </c>
      <c r="Q50" s="1" t="s">
        <v>27</v>
      </c>
    </row>
    <row r="51" spans="1:17" ht="15.75" customHeight="1" x14ac:dyDescent="0.2">
      <c r="A51" s="1">
        <v>36</v>
      </c>
      <c r="B51" s="1">
        <v>14</v>
      </c>
      <c r="C51" s="1" t="s">
        <v>28</v>
      </c>
      <c r="D51" s="1">
        <v>7</v>
      </c>
      <c r="E51" s="1" t="s">
        <v>46</v>
      </c>
      <c r="F51" s="1" t="s">
        <v>95</v>
      </c>
      <c r="G51" s="1" t="s">
        <v>96</v>
      </c>
      <c r="H51" s="1" t="s">
        <v>49</v>
      </c>
      <c r="I51" s="1" t="s">
        <v>58</v>
      </c>
      <c r="J51" s="1" t="str">
        <f>E51 &amp; K51 &amp; " " &amp; P51</f>
        <v>インマイ ウリードゥー 。</v>
      </c>
      <c r="K51" s="1" t="s">
        <v>55</v>
      </c>
      <c r="L51" s="1" t="s">
        <v>24</v>
      </c>
      <c r="M51" s="1" t="s">
        <v>25</v>
      </c>
      <c r="N51" s="1" t="str">
        <f>F51 &amp; O51 &amp; Q51</f>
        <v>犬もいる。</v>
      </c>
      <c r="O51" s="1" t="s">
        <v>56</v>
      </c>
      <c r="P51" s="1" t="s">
        <v>27</v>
      </c>
      <c r="Q51" s="1" t="s">
        <v>27</v>
      </c>
    </row>
    <row r="52" spans="1:17" ht="15.75" customHeight="1" x14ac:dyDescent="0.2">
      <c r="A52" s="1">
        <v>40</v>
      </c>
      <c r="B52" s="1">
        <v>45</v>
      </c>
      <c r="C52" s="1" t="s">
        <v>28</v>
      </c>
      <c r="D52" s="1">
        <v>7</v>
      </c>
      <c r="E52" s="1" t="s">
        <v>46</v>
      </c>
      <c r="F52" s="1" t="s">
        <v>95</v>
      </c>
      <c r="G52" s="1" t="s">
        <v>96</v>
      </c>
      <c r="H52" s="1" t="s">
        <v>49</v>
      </c>
      <c r="I52" s="1" t="s">
        <v>75</v>
      </c>
      <c r="J52" s="1" t="str">
        <f>E52 &amp; K52 &amp; " " &amp; P52</f>
        <v>インマイ ミーン ナ？</v>
      </c>
      <c r="K52" s="3" t="s">
        <v>76</v>
      </c>
      <c r="L52" s="1" t="s">
        <v>35</v>
      </c>
      <c r="M52" s="1" t="s">
        <v>36</v>
      </c>
      <c r="N52" s="1" t="str">
        <f>F52 &amp; O52 &amp; Q52</f>
        <v>犬もいないか？</v>
      </c>
      <c r="O52" s="1" t="s">
        <v>77</v>
      </c>
      <c r="P52" s="1" t="s">
        <v>38</v>
      </c>
      <c r="Q52" s="1" t="s">
        <v>39</v>
      </c>
    </row>
    <row r="53" spans="1:17" ht="15.75" customHeight="1" x14ac:dyDescent="0.2">
      <c r="A53" s="1">
        <v>48</v>
      </c>
      <c r="B53" s="1">
        <v>46</v>
      </c>
      <c r="C53" s="1" t="s">
        <v>28</v>
      </c>
      <c r="D53" s="1">
        <v>7</v>
      </c>
      <c r="E53" s="1" t="s">
        <v>46</v>
      </c>
      <c r="F53" s="1" t="s">
        <v>95</v>
      </c>
      <c r="G53" s="1" t="s">
        <v>96</v>
      </c>
      <c r="H53" s="1" t="s">
        <v>49</v>
      </c>
      <c r="I53" s="1" t="s">
        <v>54</v>
      </c>
      <c r="J53" s="1" t="str">
        <f>E53 &amp; K53 &amp; " " &amp; P53</f>
        <v>インマイ ウリードゥー ナ？</v>
      </c>
      <c r="K53" s="1" t="s">
        <v>55</v>
      </c>
      <c r="L53" s="1" t="s">
        <v>24</v>
      </c>
      <c r="M53" s="1" t="s">
        <v>36</v>
      </c>
      <c r="N53" s="1" t="str">
        <f>F53 &amp; O53 &amp; Q53</f>
        <v>犬もいるか？</v>
      </c>
      <c r="O53" s="1" t="s">
        <v>56</v>
      </c>
      <c r="P53" s="1" t="s">
        <v>38</v>
      </c>
      <c r="Q53" s="1" t="s">
        <v>39</v>
      </c>
    </row>
    <row r="54" spans="1:17" ht="15.75" customHeight="1" x14ac:dyDescent="0.2">
      <c r="A54" s="4">
        <v>2</v>
      </c>
      <c r="B54" s="4">
        <v>49</v>
      </c>
      <c r="C54" s="4" t="s">
        <v>28</v>
      </c>
      <c r="D54" s="4">
        <v>9</v>
      </c>
      <c r="E54" s="4" t="s">
        <v>108</v>
      </c>
      <c r="F54" s="4" t="s">
        <v>111</v>
      </c>
      <c r="G54" s="4" t="s">
        <v>109</v>
      </c>
      <c r="H54" s="4" t="s">
        <v>110</v>
      </c>
      <c r="I54" s="4" t="s">
        <v>33</v>
      </c>
      <c r="J54" s="4" t="str">
        <f>E54 &amp; K54 &amp; " " &amp; P54</f>
        <v>クバマイ ニャーン ナ？</v>
      </c>
      <c r="K54" s="4" t="s">
        <v>34</v>
      </c>
      <c r="L54" s="4" t="s">
        <v>35</v>
      </c>
      <c r="M54" s="4" t="s">
        <v>36</v>
      </c>
      <c r="N54" s="4" t="str">
        <f>F54 &amp; O54 &amp; Q54</f>
        <v>檳榔もないか？</v>
      </c>
      <c r="O54" s="4" t="s">
        <v>37</v>
      </c>
      <c r="P54" s="4" t="s">
        <v>38</v>
      </c>
      <c r="Q54" s="4" t="s">
        <v>39</v>
      </c>
    </row>
    <row r="55" spans="1:17" ht="15.75" customHeight="1" x14ac:dyDescent="0.2">
      <c r="A55" s="4">
        <v>7</v>
      </c>
      <c r="B55" s="4">
        <v>17</v>
      </c>
      <c r="C55" s="4" t="s">
        <v>28</v>
      </c>
      <c r="D55" s="4">
        <v>9</v>
      </c>
      <c r="E55" s="4" t="s">
        <v>108</v>
      </c>
      <c r="F55" s="4" t="s">
        <v>111</v>
      </c>
      <c r="G55" s="4" t="s">
        <v>109</v>
      </c>
      <c r="H55" s="4" t="s">
        <v>110</v>
      </c>
      <c r="I55" s="4" t="s">
        <v>45</v>
      </c>
      <c r="J55" s="4" t="str">
        <f>E55 &amp; K55 &amp; " " &amp; P55</f>
        <v>クバマイ ニャーン 。</v>
      </c>
      <c r="K55" s="4" t="s">
        <v>34</v>
      </c>
      <c r="L55" s="4" t="s">
        <v>35</v>
      </c>
      <c r="M55" s="4" t="s">
        <v>25</v>
      </c>
      <c r="N55" s="4" t="str">
        <f>F55 &amp; O55 &amp; Q55</f>
        <v>檳榔もない。</v>
      </c>
      <c r="O55" s="4" t="s">
        <v>37</v>
      </c>
      <c r="P55" s="4" t="s">
        <v>27</v>
      </c>
      <c r="Q55" s="4" t="s">
        <v>27</v>
      </c>
    </row>
    <row r="56" spans="1:17" ht="15.75" customHeight="1" x14ac:dyDescent="0.2">
      <c r="A56" s="4">
        <v>37</v>
      </c>
      <c r="B56" s="4">
        <v>18</v>
      </c>
      <c r="C56" s="4" t="s">
        <v>28</v>
      </c>
      <c r="D56" s="4">
        <v>9</v>
      </c>
      <c r="E56" s="4" t="s">
        <v>108</v>
      </c>
      <c r="F56" s="4" t="s">
        <v>111</v>
      </c>
      <c r="G56" s="4" t="s">
        <v>109</v>
      </c>
      <c r="H56" s="4" t="s">
        <v>110</v>
      </c>
      <c r="I56" s="4" t="s">
        <v>22</v>
      </c>
      <c r="J56" s="4" t="str">
        <f>E56 &amp; K56 &amp; " " &amp; P56</f>
        <v>クバマイ アリードゥー 。</v>
      </c>
      <c r="K56" s="4" t="s">
        <v>23</v>
      </c>
      <c r="L56" s="4" t="s">
        <v>24</v>
      </c>
      <c r="M56" s="4" t="s">
        <v>25</v>
      </c>
      <c r="N56" s="4" t="str">
        <f>F56 &amp; O56 &amp; Q56</f>
        <v>檳榔もある。</v>
      </c>
      <c r="O56" s="4" t="s">
        <v>26</v>
      </c>
      <c r="P56" s="4" t="s">
        <v>27</v>
      </c>
      <c r="Q56" s="4" t="s">
        <v>27</v>
      </c>
    </row>
    <row r="57" spans="1:17" ht="15.75" customHeight="1" x14ac:dyDescent="0.2">
      <c r="A57" s="4">
        <v>63</v>
      </c>
      <c r="B57" s="4">
        <v>50</v>
      </c>
      <c r="C57" s="4" t="s">
        <v>28</v>
      </c>
      <c r="D57" s="4">
        <v>9</v>
      </c>
      <c r="E57" s="4" t="s">
        <v>108</v>
      </c>
      <c r="F57" s="4" t="s">
        <v>111</v>
      </c>
      <c r="G57" s="4" t="s">
        <v>109</v>
      </c>
      <c r="H57" s="4" t="s">
        <v>110</v>
      </c>
      <c r="I57" s="4" t="s">
        <v>57</v>
      </c>
      <c r="J57" s="4" t="str">
        <f>E57 &amp; K57 &amp; " " &amp; P57</f>
        <v>クバマイ アリードゥー ナ？</v>
      </c>
      <c r="K57" s="4" t="s">
        <v>23</v>
      </c>
      <c r="L57" s="4" t="s">
        <v>24</v>
      </c>
      <c r="M57" s="4" t="s">
        <v>36</v>
      </c>
      <c r="N57" s="4" t="str">
        <f>F57 &amp; O57 &amp; Q57</f>
        <v>檳榔もあるか？</v>
      </c>
      <c r="O57" s="4" t="s">
        <v>26</v>
      </c>
      <c r="P57" s="4" t="s">
        <v>38</v>
      </c>
      <c r="Q57" s="4" t="s">
        <v>39</v>
      </c>
    </row>
    <row r="58" spans="1:17" s="5" customFormat="1" ht="15.75" customHeight="1" x14ac:dyDescent="0.2">
      <c r="A58" s="4">
        <v>24</v>
      </c>
      <c r="B58" s="4">
        <v>63</v>
      </c>
      <c r="C58" s="4" t="s">
        <v>40</v>
      </c>
      <c r="D58" s="4">
        <v>16</v>
      </c>
      <c r="E58" s="4" t="s">
        <v>112</v>
      </c>
      <c r="F58" s="4" t="s">
        <v>113</v>
      </c>
      <c r="G58" s="4" t="s">
        <v>114</v>
      </c>
      <c r="H58" s="4" t="s">
        <v>115</v>
      </c>
      <c r="I58" s="4" t="s">
        <v>75</v>
      </c>
      <c r="J58" s="4" t="str">
        <f>E58 &amp; K58 &amp; " " &amp; P58</f>
        <v>バサマイ ミーン ナ？</v>
      </c>
      <c r="K58" s="4" t="s">
        <v>76</v>
      </c>
      <c r="L58" s="4" t="s">
        <v>35</v>
      </c>
      <c r="M58" s="4" t="s">
        <v>36</v>
      </c>
      <c r="N58" s="4" t="str">
        <f>F58 &amp; O58 &amp; Q58</f>
        <v>バナナもいないか？</v>
      </c>
      <c r="O58" s="4" t="s">
        <v>77</v>
      </c>
      <c r="P58" s="4" t="s">
        <v>38</v>
      </c>
      <c r="Q58" s="4" t="s">
        <v>39</v>
      </c>
    </row>
    <row r="59" spans="1:17" s="5" customFormat="1" ht="15.75" customHeight="1" x14ac:dyDescent="0.2">
      <c r="A59" s="4">
        <v>43</v>
      </c>
      <c r="B59" s="4">
        <v>64</v>
      </c>
      <c r="C59" s="4" t="s">
        <v>40</v>
      </c>
      <c r="D59" s="4">
        <v>16</v>
      </c>
      <c r="E59" s="4" t="s">
        <v>112</v>
      </c>
      <c r="F59" s="4" t="s">
        <v>113</v>
      </c>
      <c r="G59" s="4" t="s">
        <v>114</v>
      </c>
      <c r="H59" s="4" t="s">
        <v>115</v>
      </c>
      <c r="I59" s="4" t="s">
        <v>54</v>
      </c>
      <c r="J59" s="4" t="str">
        <f>E59 &amp; K59 &amp; " " &amp; P59</f>
        <v>バサマイ ウリードゥー ナ？</v>
      </c>
      <c r="K59" s="4" t="s">
        <v>55</v>
      </c>
      <c r="L59" s="4" t="s">
        <v>24</v>
      </c>
      <c r="M59" s="4" t="s">
        <v>36</v>
      </c>
      <c r="N59" s="4" t="str">
        <f>F59 &amp; O59 &amp; Q59</f>
        <v>バナナもいるか？</v>
      </c>
      <c r="O59" s="4" t="s">
        <v>56</v>
      </c>
      <c r="P59" s="4" t="s">
        <v>38</v>
      </c>
      <c r="Q59" s="4" t="s">
        <v>39</v>
      </c>
    </row>
    <row r="60" spans="1:17" s="5" customFormat="1" ht="15.75" customHeight="1" x14ac:dyDescent="0.2">
      <c r="A60" s="4">
        <v>50</v>
      </c>
      <c r="B60" s="4">
        <v>32</v>
      </c>
      <c r="C60" s="4" t="s">
        <v>40</v>
      </c>
      <c r="D60" s="4">
        <v>16</v>
      </c>
      <c r="E60" s="4" t="s">
        <v>112</v>
      </c>
      <c r="F60" s="4" t="s">
        <v>113</v>
      </c>
      <c r="G60" s="4" t="s">
        <v>114</v>
      </c>
      <c r="H60" s="4" t="s">
        <v>115</v>
      </c>
      <c r="I60" s="4" t="s">
        <v>58</v>
      </c>
      <c r="J60" s="4" t="str">
        <f>E60 &amp; K60 &amp; " " &amp; P60</f>
        <v>バサマイ ウリードゥー 。</v>
      </c>
      <c r="K60" s="4" t="s">
        <v>55</v>
      </c>
      <c r="L60" s="4" t="s">
        <v>24</v>
      </c>
      <c r="M60" s="4" t="s">
        <v>25</v>
      </c>
      <c r="N60" s="4" t="str">
        <f>F60 &amp; O60 &amp; Q60</f>
        <v>バナナもいる。</v>
      </c>
      <c r="O60" s="4" t="s">
        <v>56</v>
      </c>
      <c r="P60" s="4" t="s">
        <v>27</v>
      </c>
      <c r="Q60" s="4" t="s">
        <v>27</v>
      </c>
    </row>
    <row r="61" spans="1:17" s="5" customFormat="1" ht="15.75" customHeight="1" x14ac:dyDescent="0.2">
      <c r="A61" s="4">
        <v>64</v>
      </c>
      <c r="B61" s="4">
        <v>31</v>
      </c>
      <c r="C61" s="4" t="s">
        <v>40</v>
      </c>
      <c r="D61" s="4">
        <v>16</v>
      </c>
      <c r="E61" s="4" t="s">
        <v>112</v>
      </c>
      <c r="F61" s="4" t="s">
        <v>113</v>
      </c>
      <c r="G61" s="4" t="s">
        <v>114</v>
      </c>
      <c r="H61" s="4" t="s">
        <v>115</v>
      </c>
      <c r="I61" s="4" t="s">
        <v>82</v>
      </c>
      <c r="J61" s="4" t="str">
        <f>E61 &amp; K61 &amp; " " &amp; P61</f>
        <v>バサマイ ミーン 。</v>
      </c>
      <c r="K61" s="6" t="s">
        <v>76</v>
      </c>
      <c r="L61" s="4" t="s">
        <v>35</v>
      </c>
      <c r="M61" s="4" t="s">
        <v>25</v>
      </c>
      <c r="N61" s="4" t="str">
        <f>F61 &amp; O61 &amp; Q61</f>
        <v>バナナもいない。</v>
      </c>
      <c r="O61" s="4" t="s">
        <v>77</v>
      </c>
      <c r="P61" s="4" t="s">
        <v>27</v>
      </c>
      <c r="Q61" s="4" t="s">
        <v>27</v>
      </c>
    </row>
    <row r="62" spans="1:17" ht="15.75" customHeight="1" x14ac:dyDescent="0.2">
      <c r="A62" s="4">
        <v>26</v>
      </c>
      <c r="B62" s="4">
        <v>51</v>
      </c>
      <c r="C62" s="4" t="s">
        <v>28</v>
      </c>
      <c r="D62" s="4">
        <v>10</v>
      </c>
      <c r="E62" s="4" t="s">
        <v>116</v>
      </c>
      <c r="F62" s="4" t="s">
        <v>117</v>
      </c>
      <c r="G62" s="4" t="s">
        <v>118</v>
      </c>
      <c r="H62" s="4" t="s">
        <v>119</v>
      </c>
      <c r="I62" s="4" t="s">
        <v>33</v>
      </c>
      <c r="J62" s="4" t="str">
        <f>E62 &amp; K62 &amp; " " &amp; P62</f>
        <v>ソゥディマイ ニャーン ナ？</v>
      </c>
      <c r="K62" s="4" t="s">
        <v>34</v>
      </c>
      <c r="L62" s="4" t="s">
        <v>35</v>
      </c>
      <c r="M62" s="4" t="s">
        <v>36</v>
      </c>
      <c r="N62" s="4" t="str">
        <f>F62 &amp; O62 &amp; Q62</f>
        <v>袖もないか？</v>
      </c>
      <c r="O62" s="4" t="s">
        <v>37</v>
      </c>
      <c r="P62" s="4" t="s">
        <v>38</v>
      </c>
      <c r="Q62" s="4" t="s">
        <v>39</v>
      </c>
    </row>
    <row r="63" spans="1:17" ht="15.75" customHeight="1" x14ac:dyDescent="0.2">
      <c r="A63" s="4">
        <v>38</v>
      </c>
      <c r="B63" s="4">
        <v>52</v>
      </c>
      <c r="C63" s="4" t="s">
        <v>28</v>
      </c>
      <c r="D63" s="4">
        <v>10</v>
      </c>
      <c r="E63" s="4" t="s">
        <v>116</v>
      </c>
      <c r="F63" s="4" t="s">
        <v>117</v>
      </c>
      <c r="G63" s="4" t="s">
        <v>118</v>
      </c>
      <c r="H63" s="4" t="s">
        <v>119</v>
      </c>
      <c r="I63" s="4" t="s">
        <v>57</v>
      </c>
      <c r="J63" s="4" t="str">
        <f>E63 &amp; K63 &amp; " " &amp; P63</f>
        <v>ソゥディマイ アリードゥー ナ？</v>
      </c>
      <c r="K63" s="4" t="s">
        <v>23</v>
      </c>
      <c r="L63" s="4" t="s">
        <v>24</v>
      </c>
      <c r="M63" s="4" t="s">
        <v>36</v>
      </c>
      <c r="N63" s="4" t="str">
        <f>F63 &amp; O63 &amp; Q63</f>
        <v>袖もあるか？</v>
      </c>
      <c r="O63" s="4" t="s">
        <v>26</v>
      </c>
      <c r="P63" s="4" t="s">
        <v>38</v>
      </c>
      <c r="Q63" s="4" t="s">
        <v>39</v>
      </c>
    </row>
    <row r="64" spans="1:17" ht="15.75" customHeight="1" x14ac:dyDescent="0.2">
      <c r="A64" s="4">
        <v>45</v>
      </c>
      <c r="B64" s="4">
        <v>19</v>
      </c>
      <c r="C64" s="4" t="s">
        <v>28</v>
      </c>
      <c r="D64" s="4">
        <v>10</v>
      </c>
      <c r="E64" s="4" t="s">
        <v>116</v>
      </c>
      <c r="F64" s="4" t="s">
        <v>117</v>
      </c>
      <c r="G64" s="4" t="s">
        <v>118</v>
      </c>
      <c r="H64" s="4" t="s">
        <v>119</v>
      </c>
      <c r="I64" s="4" t="s">
        <v>45</v>
      </c>
      <c r="J64" s="4" t="str">
        <f>E64 &amp; K64 &amp; " " &amp; P64</f>
        <v>ソゥディマイ ニャーン 。</v>
      </c>
      <c r="K64" s="4" t="s">
        <v>34</v>
      </c>
      <c r="L64" s="4" t="s">
        <v>35</v>
      </c>
      <c r="M64" s="4" t="s">
        <v>25</v>
      </c>
      <c r="N64" s="4" t="str">
        <f>F64 &amp; O64 &amp; Q64</f>
        <v>袖もない。</v>
      </c>
      <c r="O64" s="4" t="s">
        <v>37</v>
      </c>
      <c r="P64" s="4" t="s">
        <v>27</v>
      </c>
      <c r="Q64" s="4" t="s">
        <v>27</v>
      </c>
    </row>
    <row r="65" spans="1:17" ht="15.75" customHeight="1" x14ac:dyDescent="0.2">
      <c r="A65" s="4">
        <v>59</v>
      </c>
      <c r="B65" s="4">
        <v>20</v>
      </c>
      <c r="C65" s="4" t="s">
        <v>28</v>
      </c>
      <c r="D65" s="4">
        <v>10</v>
      </c>
      <c r="E65" s="4" t="s">
        <v>116</v>
      </c>
      <c r="F65" s="4" t="s">
        <v>117</v>
      </c>
      <c r="G65" s="4" t="s">
        <v>118</v>
      </c>
      <c r="H65" s="4" t="s">
        <v>119</v>
      </c>
      <c r="I65" s="4" t="s">
        <v>22</v>
      </c>
      <c r="J65" s="4" t="str">
        <f>E65 &amp; K65 &amp; " " &amp; P65</f>
        <v>ソゥディマイ アリードゥー 。</v>
      </c>
      <c r="K65" s="4" t="s">
        <v>23</v>
      </c>
      <c r="L65" s="4" t="s">
        <v>24</v>
      </c>
      <c r="M65" s="4" t="s">
        <v>25</v>
      </c>
      <c r="N65" s="4" t="str">
        <f>F65 &amp; O65 &amp; Q65</f>
        <v>袖もある。</v>
      </c>
      <c r="O65" s="4" t="s">
        <v>26</v>
      </c>
      <c r="P65" s="4" t="s">
        <v>27</v>
      </c>
      <c r="Q65" s="4" t="s">
        <v>27</v>
      </c>
    </row>
    <row r="66" spans="1:17" ht="15.75" customHeight="1" x14ac:dyDescent="0.2"/>
    <row r="67" spans="1:17" ht="15.75" customHeight="1" x14ac:dyDescent="0.2"/>
    <row r="68" spans="1:17" ht="15.75" customHeight="1" x14ac:dyDescent="0.2"/>
    <row r="69" spans="1:17" ht="15.75" customHeight="1" x14ac:dyDescent="0.2"/>
    <row r="70" spans="1:17" ht="15.75" customHeight="1" x14ac:dyDescent="0.2"/>
    <row r="71" spans="1:17" ht="15.75" customHeight="1" x14ac:dyDescent="0.2"/>
    <row r="72" spans="1:17" ht="15.75" customHeight="1" x14ac:dyDescent="0.2"/>
    <row r="73" spans="1:17" ht="15.75" customHeight="1" x14ac:dyDescent="0.2"/>
    <row r="74" spans="1:17" ht="15.75" customHeight="1" x14ac:dyDescent="0.2"/>
    <row r="75" spans="1:17" ht="15.75" customHeight="1" x14ac:dyDescent="0.2"/>
    <row r="76" spans="1:17" ht="15.75" customHeight="1" x14ac:dyDescent="0.2"/>
    <row r="77" spans="1:17" ht="15.75" customHeight="1" x14ac:dyDescent="0.2"/>
    <row r="78" spans="1:17" ht="15.75" customHeight="1" x14ac:dyDescent="0.2"/>
    <row r="79" spans="1:17" ht="15.75" customHeight="1" x14ac:dyDescent="0.2"/>
    <row r="80" spans="1:1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1:Q65" xr:uid="{00000000-0001-0000-0000-000000000000}">
    <sortState xmlns:xlrd2="http://schemas.microsoft.com/office/spreadsheetml/2017/richdata2" ref="A2:Q65">
      <sortCondition ref="F1:F65"/>
    </sortState>
  </autoFilter>
  <phoneticPr fontId="4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00"/>
  <sheetViews>
    <sheetView workbookViewId="0"/>
  </sheetViews>
  <sheetFormatPr baseColWidth="10" defaultColWidth="11.1640625" defaultRowHeight="15" customHeight="1" x14ac:dyDescent="0.2"/>
  <cols>
    <col min="1" max="8" width="10.5" customWidth="1"/>
    <col min="9" max="9" width="13.1640625" customWidth="1"/>
    <col min="10" max="26" width="10.5" customWidth="1"/>
  </cols>
  <sheetData>
    <row r="1" spans="1:17" ht="15.75" customHeight="1" x14ac:dyDescent="0.2">
      <c r="A1" s="1">
        <v>34</v>
      </c>
      <c r="B1" s="1">
        <v>54</v>
      </c>
      <c r="C1" s="1" t="s">
        <v>40</v>
      </c>
      <c r="D1" s="1">
        <v>11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57</v>
      </c>
      <c r="J1" s="1" t="str">
        <f t="shared" ref="J1:J8" si="0">E1 &amp; K1 &amp; " " &amp; P1</f>
        <v>マグマイ アリードゥー ナ？</v>
      </c>
      <c r="K1" s="1" t="s">
        <v>23</v>
      </c>
      <c r="L1" s="1" t="s">
        <v>24</v>
      </c>
      <c r="M1" s="1" t="s">
        <v>36</v>
      </c>
      <c r="N1" s="1" t="str">
        <f t="shared" ref="N1:N8" si="1">F1 &amp; O1 &amp; Q1</f>
        <v>かごもあるか？</v>
      </c>
      <c r="O1" s="1" t="s">
        <v>26</v>
      </c>
      <c r="P1" s="1" t="s">
        <v>38</v>
      </c>
      <c r="Q1" s="1" t="s">
        <v>39</v>
      </c>
    </row>
    <row r="2" spans="1:17" ht="15.75" customHeight="1" x14ac:dyDescent="0.2">
      <c r="A2" s="1">
        <v>35</v>
      </c>
      <c r="B2" s="1">
        <v>13</v>
      </c>
      <c r="C2" s="1" t="s">
        <v>28</v>
      </c>
      <c r="D2" s="1">
        <v>7</v>
      </c>
      <c r="E2" s="1" t="s">
        <v>46</v>
      </c>
      <c r="F2" s="1" t="s">
        <v>95</v>
      </c>
      <c r="G2" s="1" t="s">
        <v>96</v>
      </c>
      <c r="H2" s="1" t="s">
        <v>49</v>
      </c>
      <c r="I2" s="1" t="s">
        <v>82</v>
      </c>
      <c r="J2" s="1" t="str">
        <f t="shared" si="0"/>
        <v>インマイ ミーン 。</v>
      </c>
      <c r="K2" s="1" t="s">
        <v>76</v>
      </c>
      <c r="L2" s="1" t="s">
        <v>35</v>
      </c>
      <c r="M2" s="1" t="s">
        <v>25</v>
      </c>
      <c r="N2" s="1" t="str">
        <f t="shared" si="1"/>
        <v>犬もいない。</v>
      </c>
      <c r="O2" s="1" t="s">
        <v>77</v>
      </c>
      <c r="P2" s="1" t="s">
        <v>27</v>
      </c>
      <c r="Q2" s="1" t="s">
        <v>27</v>
      </c>
    </row>
    <row r="3" spans="1:17" ht="15.75" customHeight="1" x14ac:dyDescent="0.2">
      <c r="A3" s="1">
        <v>36</v>
      </c>
      <c r="B3" s="1">
        <v>18</v>
      </c>
      <c r="C3" s="1" t="s">
        <v>28</v>
      </c>
      <c r="D3" s="1">
        <v>9</v>
      </c>
      <c r="E3" s="1" t="s">
        <v>29</v>
      </c>
      <c r="F3" s="1" t="s">
        <v>30</v>
      </c>
      <c r="G3" s="1" t="s">
        <v>31</v>
      </c>
      <c r="H3" s="1" t="s">
        <v>32</v>
      </c>
      <c r="I3" s="1" t="s">
        <v>22</v>
      </c>
      <c r="J3" s="1" t="str">
        <f t="shared" si="0"/>
        <v>マイマイ アリードゥー 。</v>
      </c>
      <c r="K3" s="1" t="s">
        <v>23</v>
      </c>
      <c r="L3" s="1" t="s">
        <v>24</v>
      </c>
      <c r="M3" s="1" t="s">
        <v>25</v>
      </c>
      <c r="N3" s="1" t="str">
        <f t="shared" si="1"/>
        <v>米もある。</v>
      </c>
      <c r="O3" s="1" t="s">
        <v>26</v>
      </c>
      <c r="P3" s="1" t="s">
        <v>27</v>
      </c>
      <c r="Q3" s="1" t="s">
        <v>27</v>
      </c>
    </row>
    <row r="4" spans="1:17" ht="15.75" customHeight="1" x14ac:dyDescent="0.2">
      <c r="A4" s="1">
        <v>37</v>
      </c>
      <c r="B4" s="1">
        <v>14</v>
      </c>
      <c r="C4" s="1" t="s">
        <v>28</v>
      </c>
      <c r="D4" s="1">
        <v>7</v>
      </c>
      <c r="E4" s="1" t="s">
        <v>46</v>
      </c>
      <c r="F4" s="1" t="s">
        <v>95</v>
      </c>
      <c r="G4" s="1" t="s">
        <v>96</v>
      </c>
      <c r="H4" s="1" t="s">
        <v>49</v>
      </c>
      <c r="I4" s="1" t="s">
        <v>58</v>
      </c>
      <c r="J4" s="1" t="str">
        <f t="shared" si="0"/>
        <v>インマイ ウリードゥー 。</v>
      </c>
      <c r="K4" s="1" t="s">
        <v>55</v>
      </c>
      <c r="L4" s="1" t="s">
        <v>24</v>
      </c>
      <c r="M4" s="1" t="s">
        <v>25</v>
      </c>
      <c r="N4" s="1" t="str">
        <f t="shared" si="1"/>
        <v>犬もいる。</v>
      </c>
      <c r="O4" s="1" t="s">
        <v>56</v>
      </c>
      <c r="P4" s="1" t="s">
        <v>27</v>
      </c>
      <c r="Q4" s="1" t="s">
        <v>27</v>
      </c>
    </row>
    <row r="5" spans="1:17" ht="15.75" customHeight="1" x14ac:dyDescent="0.2">
      <c r="A5" s="1">
        <v>38</v>
      </c>
      <c r="B5" s="1">
        <v>52</v>
      </c>
      <c r="C5" s="1" t="s">
        <v>28</v>
      </c>
      <c r="D5" s="1">
        <v>10</v>
      </c>
      <c r="E5" s="1" t="s">
        <v>87</v>
      </c>
      <c r="F5" s="1" t="s">
        <v>88</v>
      </c>
      <c r="G5" s="1" t="s">
        <v>89</v>
      </c>
      <c r="H5" s="1" t="s">
        <v>90</v>
      </c>
      <c r="I5" s="1" t="s">
        <v>57</v>
      </c>
      <c r="J5" s="1" t="str">
        <f t="shared" si="0"/>
        <v>ソゥーマイ アリードゥー ナ？</v>
      </c>
      <c r="K5" s="1" t="s">
        <v>23</v>
      </c>
      <c r="L5" s="1" t="s">
        <v>24</v>
      </c>
      <c r="M5" s="1" t="s">
        <v>36</v>
      </c>
      <c r="N5" s="1" t="str">
        <f t="shared" si="1"/>
        <v>野菜もあるか？</v>
      </c>
      <c r="O5" s="1" t="s">
        <v>26</v>
      </c>
      <c r="P5" s="1" t="s">
        <v>38</v>
      </c>
      <c r="Q5" s="1" t="s">
        <v>39</v>
      </c>
    </row>
    <row r="6" spans="1:17" ht="15.75" customHeight="1" x14ac:dyDescent="0.2">
      <c r="A6" s="1">
        <v>39</v>
      </c>
      <c r="B6" s="1">
        <v>58</v>
      </c>
      <c r="C6" s="1" t="s">
        <v>40</v>
      </c>
      <c r="D6" s="1">
        <v>13</v>
      </c>
      <c r="E6" s="1" t="s">
        <v>46</v>
      </c>
      <c r="F6" s="1" t="s">
        <v>47</v>
      </c>
      <c r="G6" s="1" t="s">
        <v>48</v>
      </c>
      <c r="H6" s="1" t="s">
        <v>49</v>
      </c>
      <c r="I6" s="1" t="s">
        <v>54</v>
      </c>
      <c r="J6" s="1" t="str">
        <f t="shared" si="0"/>
        <v>インマイ アリードゥー ナ？</v>
      </c>
      <c r="K6" s="1" t="s">
        <v>23</v>
      </c>
      <c r="L6" s="1" t="s">
        <v>24</v>
      </c>
      <c r="M6" s="1" t="s">
        <v>36</v>
      </c>
      <c r="N6" s="1" t="str">
        <f t="shared" si="1"/>
        <v>海もあるか？</v>
      </c>
      <c r="O6" s="1" t="s">
        <v>26</v>
      </c>
      <c r="P6" s="1" t="s">
        <v>38</v>
      </c>
      <c r="Q6" s="1" t="s">
        <v>39</v>
      </c>
    </row>
    <row r="7" spans="1:17" ht="15.75" customHeight="1" x14ac:dyDescent="0.2">
      <c r="A7" s="1">
        <v>40</v>
      </c>
      <c r="B7" s="1">
        <v>30</v>
      </c>
      <c r="C7" s="1" t="s">
        <v>40</v>
      </c>
      <c r="D7" s="1">
        <v>15</v>
      </c>
      <c r="E7" s="1" t="s">
        <v>78</v>
      </c>
      <c r="F7" s="1" t="s">
        <v>79</v>
      </c>
      <c r="G7" s="1" t="s">
        <v>80</v>
      </c>
      <c r="H7" s="1" t="s">
        <v>81</v>
      </c>
      <c r="I7" s="1" t="s">
        <v>22</v>
      </c>
      <c r="J7" s="1" t="str">
        <f t="shared" si="0"/>
        <v>クーマイ アリードゥー 。</v>
      </c>
      <c r="K7" s="1" t="s">
        <v>23</v>
      </c>
      <c r="L7" s="1" t="s">
        <v>24</v>
      </c>
      <c r="M7" s="1" t="s">
        <v>25</v>
      </c>
      <c r="N7" s="1" t="str">
        <f t="shared" si="1"/>
        <v>昆布もある。</v>
      </c>
      <c r="O7" s="1" t="s">
        <v>26</v>
      </c>
      <c r="P7" s="1" t="s">
        <v>27</v>
      </c>
      <c r="Q7" s="1" t="s">
        <v>27</v>
      </c>
    </row>
    <row r="8" spans="1:17" ht="15.75" customHeight="1" x14ac:dyDescent="0.2">
      <c r="A8" s="1">
        <v>41</v>
      </c>
      <c r="B8" s="1">
        <v>45</v>
      </c>
      <c r="C8" s="1" t="s">
        <v>28</v>
      </c>
      <c r="D8" s="1">
        <v>7</v>
      </c>
      <c r="E8" s="1" t="s">
        <v>46</v>
      </c>
      <c r="F8" s="1" t="s">
        <v>95</v>
      </c>
      <c r="G8" s="1" t="s">
        <v>96</v>
      </c>
      <c r="H8" s="1" t="s">
        <v>49</v>
      </c>
      <c r="I8" s="1" t="s">
        <v>75</v>
      </c>
      <c r="J8" s="1" t="str">
        <f t="shared" si="0"/>
        <v>インマイ ミーン ナ？</v>
      </c>
      <c r="K8" s="3" t="s">
        <v>76</v>
      </c>
      <c r="L8" s="1" t="s">
        <v>35</v>
      </c>
      <c r="M8" s="1" t="s">
        <v>36</v>
      </c>
      <c r="N8" s="1" t="str">
        <f t="shared" si="1"/>
        <v>犬もいないか？</v>
      </c>
      <c r="O8" s="1" t="s">
        <v>77</v>
      </c>
      <c r="P8" s="1" t="s">
        <v>38</v>
      </c>
      <c r="Q8" s="1" t="s">
        <v>39</v>
      </c>
    </row>
    <row r="9" spans="1:17" ht="15.75" customHeight="1" x14ac:dyDescent="0.2"/>
    <row r="10" spans="1:17" ht="15.75" customHeight="1" x14ac:dyDescent="0.2"/>
    <row r="11" spans="1:17" ht="15.75" customHeight="1" x14ac:dyDescent="0.2"/>
    <row r="12" spans="1:17" ht="15.75" customHeight="1" x14ac:dyDescent="0.2"/>
    <row r="13" spans="1:17" ht="15.75" customHeight="1" x14ac:dyDescent="0.2"/>
    <row r="14" spans="1:17" ht="15.75" customHeight="1" x14ac:dyDescent="0.2"/>
    <row r="15" spans="1:17" ht="15.75" customHeight="1" x14ac:dyDescent="0.2"/>
    <row r="16" spans="1:17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order 1</vt:lpstr>
      <vt:lpstr>order 2</vt:lpstr>
      <vt:lpstr>'order 1'!ExternalData_1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淼 張</dc:creator>
  <cp:lastModifiedBy>淼 張</cp:lastModifiedBy>
  <dcterms:created xsi:type="dcterms:W3CDTF">2025-08-22T18:32:03Z</dcterms:created>
  <dcterms:modified xsi:type="dcterms:W3CDTF">2026-06-22T14:01:17Z</dcterms:modified>
</cp:coreProperties>
</file>